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werSystemLab\Documents\FromDesktop\01_研究資料\05_実行ファイル\CPAT\02_MyModel\CPATFreeR05V1.0\CPATFree_R05_Ver1.0\model\EAST10\List\MDL\"/>
    </mc:Choice>
  </mc:AlternateContent>
  <xr:revisionPtr revIDLastSave="0" documentId="13_ncr:1_{689BA3AA-01D0-4B3D-AA18-D31224BC1428}" xr6:coauthVersionLast="47" xr6:coauthVersionMax="47" xr10:uidLastSave="{00000000-0000-0000-0000-000000000000}"/>
  <bookViews>
    <workbookView xWindow="-120" yWindow="-120" windowWidth="38640" windowHeight="15720" activeTab="1" xr2:uid="{1FD9461A-3CAF-4131-9FD9-A4648D2F62F0}"/>
  </bookViews>
  <sheets>
    <sheet name="デフォルト" sheetId="1" r:id="rId1"/>
    <sheet name="台数で再エネ分を引く場合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1" l="1"/>
  <c r="I12" i="1"/>
  <c r="I3" i="1" s="1"/>
  <c r="I13" i="1"/>
  <c r="I10" i="1" s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F3" i="1"/>
  <c r="F4" i="1"/>
  <c r="F5" i="1"/>
  <c r="F6" i="1"/>
  <c r="F7" i="1"/>
  <c r="F8" i="1"/>
  <c r="F9" i="1"/>
  <c r="F10" i="1"/>
  <c r="F11" i="1"/>
  <c r="F2" i="1"/>
  <c r="O48" i="2"/>
  <c r="N48" i="2"/>
  <c r="M48" i="2"/>
  <c r="L48" i="2"/>
  <c r="O47" i="2"/>
  <c r="N47" i="2"/>
  <c r="M47" i="2"/>
  <c r="L47" i="2"/>
  <c r="O46" i="2"/>
  <c r="N46" i="2"/>
  <c r="M46" i="2"/>
  <c r="L46" i="2"/>
  <c r="O45" i="2"/>
  <c r="N45" i="2"/>
  <c r="M45" i="2"/>
  <c r="L45" i="2"/>
  <c r="O44" i="2"/>
  <c r="N44" i="2"/>
  <c r="M44" i="2"/>
  <c r="L44" i="2"/>
  <c r="O43" i="2"/>
  <c r="N43" i="2"/>
  <c r="M43" i="2"/>
  <c r="L43" i="2"/>
  <c r="O42" i="2"/>
  <c r="N42" i="2"/>
  <c r="M42" i="2"/>
  <c r="L42" i="2"/>
  <c r="O41" i="2"/>
  <c r="N41" i="2"/>
  <c r="M41" i="2"/>
  <c r="L41" i="2"/>
  <c r="O40" i="2"/>
  <c r="N40" i="2"/>
  <c r="M40" i="2"/>
  <c r="L40" i="2"/>
  <c r="O39" i="2"/>
  <c r="N39" i="2"/>
  <c r="M39" i="2"/>
  <c r="L39" i="2"/>
  <c r="O38" i="2"/>
  <c r="N38" i="2"/>
  <c r="M38" i="2"/>
  <c r="L38" i="2"/>
  <c r="O37" i="2"/>
  <c r="N37" i="2"/>
  <c r="M37" i="2"/>
  <c r="L37" i="2"/>
  <c r="O36" i="2"/>
  <c r="N36" i="2"/>
  <c r="M36" i="2"/>
  <c r="L36" i="2"/>
  <c r="O35" i="2"/>
  <c r="N35" i="2"/>
  <c r="M35" i="2"/>
  <c r="L35" i="2"/>
  <c r="O34" i="2"/>
  <c r="N34" i="2"/>
  <c r="M34" i="2"/>
  <c r="L34" i="2"/>
  <c r="O33" i="2"/>
  <c r="N33" i="2"/>
  <c r="M33" i="2"/>
  <c r="L33" i="2"/>
  <c r="O32" i="2"/>
  <c r="N32" i="2"/>
  <c r="M32" i="2"/>
  <c r="L32" i="2"/>
  <c r="O31" i="2"/>
  <c r="N31" i="2"/>
  <c r="M31" i="2"/>
  <c r="L31" i="2"/>
  <c r="O30" i="2"/>
  <c r="N30" i="2"/>
  <c r="M30" i="2"/>
  <c r="L30" i="2"/>
  <c r="O29" i="2"/>
  <c r="N29" i="2"/>
  <c r="M29" i="2"/>
  <c r="L29" i="2"/>
  <c r="O28" i="2"/>
  <c r="N28" i="2"/>
  <c r="M28" i="2"/>
  <c r="L28" i="2"/>
  <c r="O27" i="2"/>
  <c r="N27" i="2"/>
  <c r="M27" i="2"/>
  <c r="L27" i="2"/>
  <c r="O26" i="2"/>
  <c r="N26" i="2"/>
  <c r="M26" i="2"/>
  <c r="L26" i="2"/>
  <c r="T25" i="2"/>
  <c r="O25" i="2"/>
  <c r="N25" i="2"/>
  <c r="M25" i="2"/>
  <c r="L25" i="2"/>
  <c r="T24" i="2"/>
  <c r="O24" i="2"/>
  <c r="N24" i="2"/>
  <c r="M24" i="2"/>
  <c r="L24" i="2"/>
  <c r="T23" i="2"/>
  <c r="O23" i="2"/>
  <c r="N23" i="2"/>
  <c r="M23" i="2"/>
  <c r="L23" i="2"/>
  <c r="C23" i="2"/>
  <c r="D11" i="2" s="1"/>
  <c r="L11" i="2" s="1"/>
  <c r="O22" i="2"/>
  <c r="N22" i="2"/>
  <c r="M22" i="2"/>
  <c r="L22" i="2"/>
  <c r="C22" i="2"/>
  <c r="D10" i="2" s="1"/>
  <c r="L10" i="2" s="1"/>
  <c r="T21" i="2"/>
  <c r="O21" i="2"/>
  <c r="N21" i="2"/>
  <c r="M21" i="2"/>
  <c r="L21" i="2"/>
  <c r="C21" i="2"/>
  <c r="D9" i="2" s="1"/>
  <c r="L9" i="2" s="1"/>
  <c r="O20" i="2"/>
  <c r="N20" i="2"/>
  <c r="M20" i="2"/>
  <c r="L20" i="2"/>
  <c r="C20" i="2"/>
  <c r="D8" i="2" s="1"/>
  <c r="L8" i="2" s="1"/>
  <c r="O19" i="2"/>
  <c r="N19" i="2"/>
  <c r="M19" i="2"/>
  <c r="L19" i="2"/>
  <c r="C19" i="2"/>
  <c r="D7" i="2" s="1"/>
  <c r="L7" i="2" s="1"/>
  <c r="O18" i="2"/>
  <c r="N18" i="2"/>
  <c r="M18" i="2"/>
  <c r="L18" i="2"/>
  <c r="C18" i="2"/>
  <c r="D6" i="2" s="1"/>
  <c r="L6" i="2" s="1"/>
  <c r="O17" i="2"/>
  <c r="N17" i="2"/>
  <c r="M17" i="2"/>
  <c r="L17" i="2"/>
  <c r="C17" i="2"/>
  <c r="D5" i="2" s="1"/>
  <c r="L5" i="2" s="1"/>
  <c r="O16" i="2"/>
  <c r="N16" i="2"/>
  <c r="M16" i="2"/>
  <c r="L16" i="2"/>
  <c r="C16" i="2"/>
  <c r="D4" i="2" s="1"/>
  <c r="L4" i="2" s="1"/>
  <c r="O15" i="2"/>
  <c r="N15" i="2"/>
  <c r="M15" i="2"/>
  <c r="L15" i="2"/>
  <c r="C15" i="2"/>
  <c r="D3" i="2" s="1"/>
  <c r="L3" i="2" s="1"/>
  <c r="O14" i="2"/>
  <c r="N14" i="2"/>
  <c r="M14" i="2"/>
  <c r="L14" i="2"/>
  <c r="C14" i="2"/>
  <c r="D2" i="2" s="1"/>
  <c r="L2" i="2" s="1"/>
  <c r="O13" i="2"/>
  <c r="N13" i="2"/>
  <c r="M13" i="2"/>
  <c r="L13" i="2"/>
  <c r="O12" i="2"/>
  <c r="N12" i="2"/>
  <c r="M12" i="2"/>
  <c r="L12" i="2"/>
  <c r="V6" i="2" s="1"/>
  <c r="W4" i="2"/>
  <c r="S4" i="2"/>
  <c r="G1" i="2"/>
  <c r="F1" i="2"/>
  <c r="E1" i="2"/>
  <c r="J14" i="1"/>
  <c r="T4" i="1"/>
  <c r="P4" i="1"/>
  <c r="K12" i="1"/>
  <c r="Q25" i="1"/>
  <c r="Q23" i="1"/>
  <c r="Q21" i="1"/>
  <c r="Q24" i="1"/>
  <c r="B1" i="1"/>
  <c r="C1" i="1"/>
  <c r="D1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5" i="1"/>
  <c r="L46" i="1"/>
  <c r="L47" i="1"/>
  <c r="L48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V9" i="2" l="1"/>
  <c r="V10" i="2"/>
  <c r="N1" i="2"/>
  <c r="O1" i="2"/>
  <c r="I4" i="2"/>
  <c r="M4" i="2" s="1"/>
  <c r="I7" i="2"/>
  <c r="M7" i="2" s="1"/>
  <c r="I5" i="2"/>
  <c r="M5" i="2" s="1"/>
  <c r="V8" i="2"/>
  <c r="I2" i="1"/>
  <c r="I11" i="1"/>
  <c r="I9" i="1"/>
  <c r="I8" i="1"/>
  <c r="I7" i="1"/>
  <c r="I6" i="1"/>
  <c r="I5" i="1"/>
  <c r="I4" i="1"/>
  <c r="T19" i="2"/>
  <c r="T22" i="2"/>
  <c r="T16" i="2"/>
  <c r="T20" i="2" s="1"/>
  <c r="I10" i="2"/>
  <c r="I8" i="2"/>
  <c r="M8" i="2" s="1"/>
  <c r="D1" i="2"/>
  <c r="I3" i="2"/>
  <c r="M3" i="2" s="1"/>
  <c r="I11" i="2"/>
  <c r="M11" i="2" s="1"/>
  <c r="I2" i="2"/>
  <c r="M2" i="2" s="1"/>
  <c r="I6" i="2"/>
  <c r="M6" i="2" s="1"/>
  <c r="S3" i="2"/>
  <c r="I9" i="2"/>
  <c r="M9" i="2" s="1"/>
  <c r="V7" i="2"/>
  <c r="P3" i="1"/>
  <c r="K1" i="1"/>
  <c r="J28" i="1"/>
  <c r="J41" i="1"/>
  <c r="J12" i="1"/>
  <c r="J21" i="1"/>
  <c r="J20" i="1"/>
  <c r="J19" i="1"/>
  <c r="J29" i="1"/>
  <c r="J43" i="1"/>
  <c r="J26" i="1"/>
  <c r="J24" i="1"/>
  <c r="J23" i="1"/>
  <c r="J38" i="1"/>
  <c r="J36" i="1"/>
  <c r="J34" i="1"/>
  <c r="J18" i="1"/>
  <c r="J45" i="1"/>
  <c r="J33" i="1"/>
  <c r="J17" i="1"/>
  <c r="J48" i="1"/>
  <c r="J32" i="1"/>
  <c r="J16" i="1"/>
  <c r="J13" i="1"/>
  <c r="J40" i="1"/>
  <c r="J39" i="1"/>
  <c r="J22" i="1"/>
  <c r="J35" i="1"/>
  <c r="J47" i="1"/>
  <c r="J31" i="1"/>
  <c r="J15" i="1"/>
  <c r="J44" i="1"/>
  <c r="J27" i="1"/>
  <c r="J42" i="1"/>
  <c r="J25" i="1"/>
  <c r="J37" i="1"/>
  <c r="J46" i="1"/>
  <c r="J30" i="1"/>
  <c r="L28" i="1"/>
  <c r="L44" i="1"/>
  <c r="L12" i="1"/>
  <c r="M10" i="2" l="1"/>
  <c r="M1" i="2" s="1"/>
  <c r="L1" i="1"/>
  <c r="J11" i="1"/>
  <c r="J2" i="1"/>
  <c r="J5" i="1"/>
  <c r="J4" i="1"/>
  <c r="J7" i="1"/>
  <c r="J3" i="1"/>
  <c r="J8" i="1"/>
  <c r="J9" i="1"/>
  <c r="J10" i="1"/>
  <c r="J6" i="1"/>
  <c r="L1" i="2" l="1"/>
  <c r="J1" i="1"/>
  <c r="S9" i="1"/>
  <c r="S10" i="1"/>
  <c r="S8" i="1"/>
  <c r="S7" i="1"/>
  <c r="Q22" i="1"/>
  <c r="Q19" i="1"/>
  <c r="Q16" i="1"/>
  <c r="Q20" i="1" s="1"/>
  <c r="S6" i="1"/>
</calcChain>
</file>

<file path=xl/sharedStrings.xml><?xml version="1.0" encoding="utf-8"?>
<sst xmlns="http://schemas.openxmlformats.org/spreadsheetml/2006/main" count="104" uniqueCount="28">
  <si>
    <t>系統に対する割合</t>
    <rPh sb="0" eb="2">
      <t>ケイトウ</t>
    </rPh>
    <rPh sb="3" eb="4">
      <t>タイ</t>
    </rPh>
    <rPh sb="6" eb="8">
      <t>ワリアイ</t>
    </rPh>
    <phoneticPr fontId="5"/>
  </si>
  <si>
    <t>発電機有効電力合計量</t>
    <rPh sb="0" eb="3">
      <t>ハツデンキ</t>
    </rPh>
    <rPh sb="3" eb="7">
      <t>ユウコウデンリョク</t>
    </rPh>
    <rPh sb="7" eb="10">
      <t>ゴウケイリョウ</t>
    </rPh>
    <phoneticPr fontId="5"/>
  </si>
  <si>
    <t>[%]</t>
    <phoneticPr fontId="5"/>
  </si>
  <si>
    <t>有効負荷電力合計量</t>
    <rPh sb="0" eb="9">
      <t>ユウコウフカデンリョクゴウケイリョウ</t>
    </rPh>
    <phoneticPr fontId="5"/>
  </si>
  <si>
    <t>Δ</t>
    <phoneticPr fontId="5"/>
  </si>
  <si>
    <t>MW</t>
    <phoneticPr fontId="5"/>
  </si>
  <si>
    <t>=</t>
    <phoneticPr fontId="5"/>
  </si>
  <si>
    <t>p.u.</t>
    <phoneticPr fontId="5"/>
  </si>
  <si>
    <t>RE比率</t>
    <rPh sb="2" eb="4">
      <t>ヒリツ</t>
    </rPh>
    <phoneticPr fontId="2"/>
  </si>
  <si>
    <t>MVA</t>
    <phoneticPr fontId="2"/>
  </si>
  <si>
    <t>調相機対系統</t>
    <rPh sb="3" eb="4">
      <t>タイ</t>
    </rPh>
    <rPh sb="4" eb="6">
      <t>ケイトウ</t>
    </rPh>
    <phoneticPr fontId="2"/>
  </si>
  <si>
    <t>調相機対再エネ</t>
    <rPh sb="3" eb="4">
      <t>タイ</t>
    </rPh>
    <rPh sb="4" eb="5">
      <t>サイ</t>
    </rPh>
    <phoneticPr fontId="2"/>
  </si>
  <si>
    <t>再エネ対系統</t>
    <rPh sb="0" eb="1">
      <t>サイ</t>
    </rPh>
    <rPh sb="3" eb="4">
      <t>タイ</t>
    </rPh>
    <rPh sb="4" eb="6">
      <t>ケイトウ</t>
    </rPh>
    <phoneticPr fontId="2"/>
  </si>
  <si>
    <t>MW</t>
    <phoneticPr fontId="2"/>
  </si>
  <si>
    <t>条件設定 [p.u]</t>
    <rPh sb="0" eb="2">
      <t>ジョウケン</t>
    </rPh>
    <rPh sb="2" eb="4">
      <t>セッテイ</t>
    </rPh>
    <phoneticPr fontId="2"/>
  </si>
  <si>
    <t>事故発生量対系統</t>
    <rPh sb="0" eb="5">
      <t>ジコハッセイリョウ</t>
    </rPh>
    <rPh sb="5" eb="6">
      <t>タイ</t>
    </rPh>
    <rPh sb="6" eb="8">
      <t>ケイトウ</t>
    </rPh>
    <phoneticPr fontId="2"/>
  </si>
  <si>
    <t>p.u.</t>
    <phoneticPr fontId="2"/>
  </si>
  <si>
    <t>事故発生量対負荷量</t>
    <rPh sb="0" eb="5">
      <t>ジコハッセイリョウ</t>
    </rPh>
    <rPh sb="5" eb="6">
      <t>タイ</t>
    </rPh>
    <rPh sb="6" eb="8">
      <t>フカ</t>
    </rPh>
    <rPh sb="8" eb="9">
      <t>リョウ</t>
    </rPh>
    <phoneticPr fontId="2"/>
  </si>
  <si>
    <t>再エネ対負荷量</t>
    <rPh sb="0" eb="1">
      <t>サイ</t>
    </rPh>
    <rPh sb="3" eb="4">
      <t>タイ</t>
    </rPh>
    <rPh sb="4" eb="6">
      <t>フカ</t>
    </rPh>
    <rPh sb="6" eb="7">
      <t>リョウ</t>
    </rPh>
    <phoneticPr fontId="2"/>
  </si>
  <si>
    <t>調相機対負荷量</t>
    <rPh sb="3" eb="4">
      <t>タイ</t>
    </rPh>
    <rPh sb="4" eb="6">
      <t>フカ</t>
    </rPh>
    <rPh sb="6" eb="7">
      <t>リョウ</t>
    </rPh>
    <phoneticPr fontId="2"/>
  </si>
  <si>
    <t>系統全体での再エネ</t>
    <rPh sb="0" eb="4">
      <t>ケイトウゼンタイ</t>
    </rPh>
    <rPh sb="6" eb="7">
      <t>サイ</t>
    </rPh>
    <phoneticPr fontId="2"/>
  </si>
  <si>
    <t>系統全体での調相機</t>
    <rPh sb="0" eb="4">
      <t>ケイトウゼンタイ</t>
    </rPh>
    <rPh sb="6" eb="8">
      <t>チョウソウ</t>
    </rPh>
    <rPh sb="8" eb="9">
      <t>キ</t>
    </rPh>
    <phoneticPr fontId="2"/>
  </si>
  <si>
    <t>系統全体での事故発生量</t>
    <rPh sb="0" eb="4">
      <t>ケイトウゼンタイ</t>
    </rPh>
    <rPh sb="6" eb="11">
      <t>ジコハッセイリョウ</t>
    </rPh>
    <phoneticPr fontId="2"/>
  </si>
  <si>
    <t>台</t>
    <rPh sb="0" eb="1">
      <t>ダイ</t>
    </rPh>
    <phoneticPr fontId="2"/>
  </si>
  <si>
    <t>箇所</t>
    <rPh sb="0" eb="2">
      <t>カショ</t>
    </rPh>
    <phoneticPr fontId="2"/>
  </si>
  <si>
    <t>pu比率</t>
    <rPh sb="2" eb="4">
      <t>ヒリツ</t>
    </rPh>
    <phoneticPr fontId="2"/>
  </si>
  <si>
    <t>想定台数</t>
    <rPh sb="0" eb="4">
      <t>ソウテイダイスウ</t>
    </rPh>
    <phoneticPr fontId="2"/>
  </si>
  <si>
    <t>台数(デフォルト)</t>
    <rPh sb="0" eb="2">
      <t>ダイスウ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</si>
</sst>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0000000"/>
    <numFmt numFmtId="177" formatCode="0.0000000000000"/>
    <numFmt numFmtId="178" formatCode="0.000000000000000"/>
    <numFmt numFmtId="179" formatCode="0.0000000000000000000000"/>
    <numFmt numFmtId="180" formatCode="0.00000000000000_ "/>
    <numFmt numFmtId="181" formatCode="0.0000000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Calibri"/>
      <family val="2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0" fillId="2" borderId="0" xfId="0" applyFill="1" applyAlignment="1"/>
    <xf numFmtId="0" fontId="4" fillId="3" borderId="0" xfId="0" applyFont="1" applyFill="1" applyAlignment="1">
      <alignment horizontal="right"/>
    </xf>
    <xf numFmtId="0" fontId="0" fillId="3" borderId="0" xfId="0" applyFill="1" applyAlignment="1"/>
    <xf numFmtId="0" fontId="4" fillId="3" borderId="0" xfId="0" applyFont="1" applyFill="1" applyAlignment="1"/>
    <xf numFmtId="0" fontId="3" fillId="3" borderId="0" xfId="0" applyFont="1" applyFill="1" applyAlignment="1"/>
    <xf numFmtId="9" fontId="0" fillId="0" borderId="0" xfId="1" applyFont="1" applyAlignment="1"/>
    <xf numFmtId="0" fontId="0" fillId="4" borderId="0" xfId="0" applyFill="1" applyAlignment="1"/>
    <xf numFmtId="9" fontId="0" fillId="4" borderId="0" xfId="1" applyFont="1" applyFill="1" applyAlignment="1"/>
    <xf numFmtId="176" fontId="0" fillId="0" borderId="0" xfId="0" applyNumberFormat="1" applyAlignment="1"/>
    <xf numFmtId="177" fontId="0" fillId="0" borderId="0" xfId="0" applyNumberFormat="1" applyAlignment="1"/>
    <xf numFmtId="178" fontId="0" fillId="0" borderId="0" xfId="0" applyNumberFormat="1" applyAlignment="1"/>
    <xf numFmtId="179" fontId="0" fillId="0" borderId="0" xfId="0" applyNumberFormat="1" applyAlignment="1"/>
    <xf numFmtId="180" fontId="0" fillId="0" borderId="0" xfId="0" applyNumberFormat="1" applyAlignment="1"/>
    <xf numFmtId="181" fontId="0" fillId="0" borderId="0" xfId="0" applyNumberFormat="1" applyAlignment="1"/>
    <xf numFmtId="0" fontId="0" fillId="0" borderId="0" xfId="0" applyBorder="1" applyAlignment="1"/>
    <xf numFmtId="38" fontId="0" fillId="0" borderId="0" xfId="2" applyFont="1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38" fontId="0" fillId="0" borderId="7" xfId="2" applyFont="1" applyBorder="1" applyAlignment="1"/>
    <xf numFmtId="0" fontId="0" fillId="0" borderId="8" xfId="0" applyBorder="1" applyAlignment="1"/>
    <xf numFmtId="0" fontId="6" fillId="0" borderId="4" xfId="0" applyFont="1" applyBorder="1" applyAlignment="1"/>
    <xf numFmtId="38" fontId="7" fillId="0" borderId="0" xfId="2" applyFont="1" applyBorder="1" applyAlignment="1"/>
    <xf numFmtId="0" fontId="7" fillId="0" borderId="5" xfId="0" applyFont="1" applyBorder="1" applyAlignment="1"/>
    <xf numFmtId="0" fontId="7" fillId="0" borderId="4" xfId="0" applyFont="1" applyBorder="1" applyAlignment="1"/>
    <xf numFmtId="0" fontId="0" fillId="5" borderId="0" xfId="0" applyFill="1" applyAlignment="1"/>
    <xf numFmtId="0" fontId="0" fillId="0" borderId="0" xfId="0" applyFill="1" applyAlignment="1"/>
  </cellXfs>
  <cellStyles count="3">
    <cellStyle name="パーセント" xfId="1" builtinId="5"/>
    <cellStyle name="桁区切り" xfId="2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werSystemLab/Documents/FromDesktop/01_&#30740;&#31350;&#36039;&#26009;/05_&#23455;&#34892;&#12501;&#12449;&#12452;&#12523;/CPAT/02_MyModel/CPATFreeR05V1.0/CPATFree_R05_Ver1.0/model/EAST10/PastData/Condition/scen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0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ystemInform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4">
          <cell r="I14">
            <v>82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C5C0-F4B0-410B-8F2B-6CF1C242E591}">
  <dimension ref="A1:T48"/>
  <sheetViews>
    <sheetView workbookViewId="0">
      <selection activeCell="I2" sqref="I2:J11"/>
    </sheetView>
  </sheetViews>
  <sheetFormatPr defaultRowHeight="18.75" x14ac:dyDescent="0.4"/>
  <cols>
    <col min="1" max="1" width="9" style="33"/>
    <col min="2" max="3" width="9.375" style="1" customWidth="1"/>
    <col min="4" max="4" width="15.625" style="1" customWidth="1"/>
    <col min="5" max="5" width="18.375" style="1" bestFit="1" customWidth="1"/>
    <col min="6" max="8" width="9" style="1"/>
    <col min="9" max="9" width="17.5" style="1" customWidth="1"/>
    <col min="10" max="10" width="15.25" style="1" customWidth="1"/>
    <col min="11" max="11" width="47.5" style="1" customWidth="1"/>
    <col min="12" max="12" width="9" style="1"/>
    <col min="13" max="13" width="31" style="1" customWidth="1"/>
    <col min="14" max="15" width="9" style="1"/>
    <col min="16" max="16" width="19.25" style="1" bestFit="1" customWidth="1"/>
    <col min="17" max="17" width="10" style="1" bestFit="1" customWidth="1"/>
    <col min="18" max="16384" width="9" style="1"/>
  </cols>
  <sheetData>
    <row r="1" spans="1:20" x14ac:dyDescent="0.4">
      <c r="B1" s="1">
        <f t="shared" ref="B1:D1" si="0">SUM(B2:B48)</f>
        <v>28.964970000000005</v>
      </c>
      <c r="C1" s="1">
        <f t="shared" si="0"/>
        <v>69.99999992999993</v>
      </c>
      <c r="D1" s="1">
        <f t="shared" si="0"/>
        <v>53.690175249999996</v>
      </c>
      <c r="E1" s="16"/>
      <c r="I1" s="1">
        <f>SUM(I2:I48)</f>
        <v>70</v>
      </c>
      <c r="J1" s="1">
        <f t="shared" ref="J1:L1" si="1">SUM(J2:J48)</f>
        <v>28.964970000000008</v>
      </c>
      <c r="K1" s="1">
        <f t="shared" si="1"/>
        <v>69.99999992999993</v>
      </c>
      <c r="L1" s="1">
        <f t="shared" si="1"/>
        <v>24.725205229999997</v>
      </c>
      <c r="M1" s="14"/>
    </row>
    <row r="2" spans="1:20" x14ac:dyDescent="0.4">
      <c r="A2" s="33">
        <v>5.9756097600000002</v>
      </c>
      <c r="B2" s="1">
        <v>2.66181</v>
      </c>
      <c r="D2" s="1">
        <v>2.4726193900000002</v>
      </c>
      <c r="E2" s="9"/>
      <c r="F2" s="9">
        <f>A2/SUM($A$2:$A$11)</f>
        <v>8.5365853714285719E-2</v>
      </c>
      <c r="H2" s="1">
        <v>1.0069999999999999</v>
      </c>
      <c r="I2" s="1">
        <f>A2-(SUM($I$12:$I$48))*F2</f>
        <v>5.9756097600000002</v>
      </c>
      <c r="J2" s="17">
        <f>(SUM($B$2:$B$11)-SUM($J$12:$J$48))*F2</f>
        <v>2.4726193918586747</v>
      </c>
      <c r="M2" s="15"/>
      <c r="O2" s="2"/>
      <c r="P2" s="3" t="s">
        <v>0</v>
      </c>
      <c r="Q2" s="4"/>
      <c r="S2" s="10" t="s">
        <v>8</v>
      </c>
      <c r="T2" s="1" t="s">
        <v>25</v>
      </c>
    </row>
    <row r="3" spans="1:20" x14ac:dyDescent="0.4">
      <c r="A3" s="33">
        <v>9.3902438999999998</v>
      </c>
      <c r="B3" s="1">
        <v>3.8677600000000001</v>
      </c>
      <c r="D3" s="1">
        <v>3.8855447600000002</v>
      </c>
      <c r="E3" s="9"/>
      <c r="F3" s="9">
        <f t="shared" ref="F3:F11" si="2">A3/SUM($A$2:$A$11)</f>
        <v>0.13414634142857143</v>
      </c>
      <c r="H3" s="1">
        <v>1.0049999999999999</v>
      </c>
      <c r="I3" s="1">
        <f t="shared" ref="I3:I11" si="3">A3-(SUM($I$12:$I$48))*F3</f>
        <v>9.3902438999999998</v>
      </c>
      <c r="J3" s="17">
        <f>(SUM($B$2:$B$11)-SUM($J$12:$J$48))*F3</f>
        <v>3.8855447550883291</v>
      </c>
      <c r="M3" s="15"/>
      <c r="O3" s="3" t="s">
        <v>1</v>
      </c>
      <c r="P3" s="4" t="e">
        <f>SUM(#REF!)/[1]SystemInformation!$I$14*100</f>
        <v>#REF!</v>
      </c>
      <c r="Q3" s="2" t="s">
        <v>2</v>
      </c>
      <c r="S3" s="11">
        <v>0</v>
      </c>
      <c r="T3" s="1">
        <v>8.8000000000000007</v>
      </c>
    </row>
    <row r="4" spans="1:20" x14ac:dyDescent="0.4">
      <c r="A4" s="33">
        <v>5.1219512199999997</v>
      </c>
      <c r="B4" s="1">
        <v>1.4516500000000001</v>
      </c>
      <c r="D4" s="1">
        <v>2.11938805</v>
      </c>
      <c r="E4" s="9"/>
      <c r="F4" s="9">
        <f t="shared" si="2"/>
        <v>7.3170731714285717E-2</v>
      </c>
      <c r="H4" s="1">
        <v>1.02</v>
      </c>
      <c r="I4" s="1">
        <f t="shared" si="3"/>
        <v>5.1219512199999997</v>
      </c>
      <c r="J4" s="17">
        <f t="shared" ref="J4:J11" si="4">(SUM($B$2:$B$11)-SUM($J$12:$J$48))*F4</f>
        <v>2.1193880489823349</v>
      </c>
      <c r="M4" s="15"/>
      <c r="O4" s="3" t="s">
        <v>3</v>
      </c>
      <c r="P4" s="4">
        <f>SUM(C12:C48)/[1]SystemInformation!$I$14*100</f>
        <v>85.365853573170654</v>
      </c>
      <c r="Q4" s="2" t="s">
        <v>2</v>
      </c>
      <c r="T4" s="1">
        <f>T3/SUM(C12:C48)*100</f>
        <v>12.571428584000014</v>
      </c>
    </row>
    <row r="5" spans="1:20" x14ac:dyDescent="0.4">
      <c r="A5" s="33">
        <v>9.3902438999999998</v>
      </c>
      <c r="B5" s="1">
        <v>3.7865000000000002</v>
      </c>
      <c r="D5" s="1">
        <v>3.8855447600000002</v>
      </c>
      <c r="E5" s="9"/>
      <c r="F5" s="9">
        <f t="shared" si="2"/>
        <v>0.13414634142857143</v>
      </c>
      <c r="H5" s="1">
        <v>1.0049999999999999</v>
      </c>
      <c r="I5" s="1">
        <f t="shared" si="3"/>
        <v>9.3902438999999998</v>
      </c>
      <c r="J5" s="17">
        <f t="shared" si="4"/>
        <v>3.8855447550883291</v>
      </c>
      <c r="M5" s="15"/>
    </row>
    <row r="6" spans="1:20" x14ac:dyDescent="0.4">
      <c r="A6" s="33">
        <v>5.1219512199999997</v>
      </c>
      <c r="B6" s="1">
        <v>1.6435999999999999</v>
      </c>
      <c r="D6" s="1">
        <v>2.11938805</v>
      </c>
      <c r="E6" s="9"/>
      <c r="F6" s="9">
        <f t="shared" si="2"/>
        <v>7.3170731714285717E-2</v>
      </c>
      <c r="H6" s="1">
        <v>1.02</v>
      </c>
      <c r="I6" s="1">
        <f t="shared" si="3"/>
        <v>5.1219512199999997</v>
      </c>
      <c r="J6" s="17">
        <f t="shared" si="4"/>
        <v>2.1193880489823349</v>
      </c>
      <c r="M6" s="15"/>
      <c r="O6" s="5" t="s">
        <v>4</v>
      </c>
      <c r="P6" s="6">
        <v>50</v>
      </c>
      <c r="Q6" s="7" t="s">
        <v>5</v>
      </c>
      <c r="R6" s="8" t="s">
        <v>6</v>
      </c>
      <c r="S6" s="6">
        <f>P6/((K12-I12)*1000)</f>
        <v>2.6428571455000001E-2</v>
      </c>
      <c r="T6" s="8" t="s">
        <v>7</v>
      </c>
    </row>
    <row r="7" spans="1:20" x14ac:dyDescent="0.4">
      <c r="A7" s="33">
        <v>9.3902438999999998</v>
      </c>
      <c r="B7" s="1">
        <v>3.9774699999999998</v>
      </c>
      <c r="D7" s="1">
        <v>3.8855447600000002</v>
      </c>
      <c r="E7" s="9"/>
      <c r="F7" s="9">
        <f t="shared" si="2"/>
        <v>0.13414634142857143</v>
      </c>
      <c r="H7" s="1">
        <v>1.0049999999999999</v>
      </c>
      <c r="I7" s="1">
        <f t="shared" si="3"/>
        <v>9.3902438999999998</v>
      </c>
      <c r="J7" s="17">
        <f t="shared" si="4"/>
        <v>3.8855447550883291</v>
      </c>
      <c r="M7" s="15"/>
      <c r="O7" s="5" t="s">
        <v>4</v>
      </c>
      <c r="P7" s="6">
        <v>150</v>
      </c>
      <c r="Q7" s="7" t="s">
        <v>5</v>
      </c>
      <c r="R7" s="8" t="s">
        <v>6</v>
      </c>
      <c r="S7" s="6">
        <f t="shared" ref="S7:S9" si="5">P7/((K13-I13)*1000)</f>
        <v>7.928571436500001E-2</v>
      </c>
      <c r="T7" s="8" t="s">
        <v>7</v>
      </c>
    </row>
    <row r="8" spans="1:20" x14ac:dyDescent="0.4">
      <c r="A8" s="33">
        <v>9.3902438999999998</v>
      </c>
      <c r="B8" s="1">
        <v>5.7533399999999997</v>
      </c>
      <c r="D8" s="1">
        <v>3.8855447600000002</v>
      </c>
      <c r="E8" s="9"/>
      <c r="F8" s="9">
        <f t="shared" si="2"/>
        <v>0.13414634142857143</v>
      </c>
      <c r="H8" s="1">
        <v>1.02</v>
      </c>
      <c r="I8" s="1">
        <f t="shared" si="3"/>
        <v>9.3902438999999998</v>
      </c>
      <c r="J8" s="17">
        <f t="shared" si="4"/>
        <v>3.8855447550883291</v>
      </c>
      <c r="M8" s="15"/>
      <c r="O8" s="5" t="s">
        <v>4</v>
      </c>
      <c r="P8" s="6">
        <v>250</v>
      </c>
      <c r="Q8" s="7" t="s">
        <v>5</v>
      </c>
      <c r="R8" s="8" t="s">
        <v>6</v>
      </c>
      <c r="S8" s="6">
        <f t="shared" si="5"/>
        <v>0.132142857275</v>
      </c>
      <c r="T8" s="8" t="s">
        <v>7</v>
      </c>
    </row>
    <row r="9" spans="1:20" x14ac:dyDescent="0.4">
      <c r="A9" s="33">
        <v>5.9756097600000002</v>
      </c>
      <c r="B9" s="1">
        <v>1.7342200000000001</v>
      </c>
      <c r="D9" s="1">
        <v>2.4726193900000002</v>
      </c>
      <c r="E9" s="9"/>
      <c r="F9" s="9">
        <f t="shared" si="2"/>
        <v>8.5365853714285719E-2</v>
      </c>
      <c r="H9" s="1">
        <v>1.02</v>
      </c>
      <c r="I9" s="1">
        <f t="shared" si="3"/>
        <v>5.9756097600000002</v>
      </c>
      <c r="J9" s="17">
        <f t="shared" si="4"/>
        <v>2.4726193918586747</v>
      </c>
      <c r="M9" s="15"/>
      <c r="O9" s="5" t="s">
        <v>4</v>
      </c>
      <c r="P9" s="6">
        <v>350</v>
      </c>
      <c r="Q9" s="7" t="s">
        <v>5</v>
      </c>
      <c r="R9" s="8" t="s">
        <v>6</v>
      </c>
      <c r="S9" s="6">
        <f t="shared" si="5"/>
        <v>0.18500000018500001</v>
      </c>
      <c r="T9" s="8" t="s">
        <v>7</v>
      </c>
    </row>
    <row r="10" spans="1:20" x14ac:dyDescent="0.4">
      <c r="A10" s="33">
        <v>5.9756097600000002</v>
      </c>
      <c r="B10" s="1">
        <v>1.8297300000000001</v>
      </c>
      <c r="D10" s="1">
        <v>2.4726193900000002</v>
      </c>
      <c r="E10" s="9"/>
      <c r="F10" s="9">
        <f t="shared" si="2"/>
        <v>8.5365853714285719E-2</v>
      </c>
      <c r="H10" s="1">
        <v>1.02</v>
      </c>
      <c r="I10" s="1">
        <f t="shared" si="3"/>
        <v>5.9756097600000002</v>
      </c>
      <c r="J10" s="17">
        <f t="shared" si="4"/>
        <v>2.4726193918586747</v>
      </c>
      <c r="M10" s="15"/>
      <c r="O10" s="5" t="s">
        <v>4</v>
      </c>
      <c r="P10" s="6">
        <v>500</v>
      </c>
      <c r="Q10" s="7" t="s">
        <v>5</v>
      </c>
      <c r="R10" s="8" t="s">
        <v>6</v>
      </c>
      <c r="S10" s="6">
        <f>P10/((K16-I16)*1000)</f>
        <v>0.26428571454999999</v>
      </c>
      <c r="T10" s="8" t="s">
        <v>7</v>
      </c>
    </row>
    <row r="11" spans="1:20" x14ac:dyDescent="0.4">
      <c r="A11" s="33">
        <v>4.2682926800000001</v>
      </c>
      <c r="B11" s="1">
        <v>2.2588900000000001</v>
      </c>
      <c r="D11" s="1">
        <v>1.76615671</v>
      </c>
      <c r="E11" s="9"/>
      <c r="F11" s="9">
        <f t="shared" si="2"/>
        <v>6.0975609714285714E-2</v>
      </c>
      <c r="H11" s="1">
        <v>1.0149999999999999</v>
      </c>
      <c r="I11" s="1">
        <f t="shared" si="3"/>
        <v>4.2682926800000001</v>
      </c>
      <c r="J11" s="17">
        <f t="shared" si="4"/>
        <v>1.7661567061059946</v>
      </c>
      <c r="M11" s="15"/>
    </row>
    <row r="12" spans="1:20" x14ac:dyDescent="0.4">
      <c r="C12" s="1">
        <v>1.8918918899999999</v>
      </c>
      <c r="D12" s="12">
        <v>0.66824879000000004</v>
      </c>
      <c r="H12" s="1">
        <v>1.02</v>
      </c>
      <c r="I12" s="1">
        <f>C12*$S$3</f>
        <v>0</v>
      </c>
      <c r="J12" s="12">
        <f>D12*$S$3</f>
        <v>0</v>
      </c>
      <c r="K12" s="13">
        <f>C12</f>
        <v>1.8918918899999999</v>
      </c>
      <c r="L12" s="1">
        <f>D12</f>
        <v>0.66824879000000004</v>
      </c>
    </row>
    <row r="13" spans="1:20" x14ac:dyDescent="0.4">
      <c r="C13" s="1">
        <v>1.8918918899999999</v>
      </c>
      <c r="D13" s="12">
        <v>0.66824879000000004</v>
      </c>
      <c r="H13" s="1">
        <v>1.02</v>
      </c>
      <c r="I13" s="1">
        <f t="shared" ref="I13:I47" si="6">C13*$S$3</f>
        <v>0</v>
      </c>
      <c r="J13" s="12">
        <f t="shared" ref="J13:J48" si="7">D13*$S$3</f>
        <v>0</v>
      </c>
      <c r="K13" s="1">
        <f t="shared" ref="K13:K48" si="8">C13</f>
        <v>1.8918918899999999</v>
      </c>
      <c r="L13" s="1">
        <f t="shared" ref="L13:L48" si="9">D13</f>
        <v>0.66824879000000004</v>
      </c>
    </row>
    <row r="14" spans="1:20" ht="19.5" thickBot="1" x14ac:dyDescent="0.45">
      <c r="C14" s="1">
        <v>1.8918918899999999</v>
      </c>
      <c r="D14" s="12">
        <v>0.66824879000000004</v>
      </c>
      <c r="H14" s="1">
        <v>1.02</v>
      </c>
      <c r="I14" s="1">
        <f t="shared" si="6"/>
        <v>0</v>
      </c>
      <c r="J14" s="12">
        <f t="shared" si="7"/>
        <v>0</v>
      </c>
      <c r="K14" s="1">
        <f t="shared" si="8"/>
        <v>1.8918918899999999</v>
      </c>
      <c r="L14" s="1">
        <f t="shared" si="9"/>
        <v>0.66824879000000004</v>
      </c>
      <c r="P14" s="1" t="s">
        <v>14</v>
      </c>
    </row>
    <row r="15" spans="1:20" x14ac:dyDescent="0.4">
      <c r="C15" s="1">
        <v>1.8918918899999999</v>
      </c>
      <c r="D15" s="12">
        <v>0.66824879000000004</v>
      </c>
      <c r="H15" s="1">
        <v>1.02</v>
      </c>
      <c r="I15" s="1">
        <f t="shared" si="6"/>
        <v>0</v>
      </c>
      <c r="J15" s="12">
        <f t="shared" si="7"/>
        <v>0</v>
      </c>
      <c r="K15" s="1">
        <f t="shared" si="8"/>
        <v>1.8918918899999999</v>
      </c>
      <c r="L15" s="1">
        <f t="shared" si="9"/>
        <v>0.66824879000000004</v>
      </c>
      <c r="P15" s="20" t="s">
        <v>21</v>
      </c>
      <c r="Q15" s="21">
        <v>100</v>
      </c>
      <c r="R15" s="22" t="s">
        <v>9</v>
      </c>
      <c r="S15" s="1">
        <v>1</v>
      </c>
      <c r="T15" s="1" t="s">
        <v>23</v>
      </c>
    </row>
    <row r="16" spans="1:20" x14ac:dyDescent="0.4">
      <c r="C16" s="1">
        <v>1.8918918899999999</v>
      </c>
      <c r="D16" s="12">
        <v>0.66824879000000004</v>
      </c>
      <c r="H16" s="1">
        <v>1.02</v>
      </c>
      <c r="I16" s="1">
        <f t="shared" si="6"/>
        <v>0</v>
      </c>
      <c r="J16" s="12">
        <f t="shared" si="7"/>
        <v>0</v>
      </c>
      <c r="K16" s="1">
        <f t="shared" si="8"/>
        <v>1.8918918899999999</v>
      </c>
      <c r="L16" s="1">
        <f t="shared" si="9"/>
        <v>0.66824879000000004</v>
      </c>
      <c r="P16" s="23" t="s">
        <v>20</v>
      </c>
      <c r="Q16" s="18">
        <f>SUM(I12:I48)*1000</f>
        <v>0</v>
      </c>
      <c r="R16" s="24" t="s">
        <v>13</v>
      </c>
      <c r="S16" s="1">
        <v>37</v>
      </c>
      <c r="T16" s="1" t="s">
        <v>23</v>
      </c>
    </row>
    <row r="17" spans="3:20" x14ac:dyDescent="0.4">
      <c r="C17" s="1">
        <v>1.8918918899999999</v>
      </c>
      <c r="D17" s="12">
        <v>0.66824879000000004</v>
      </c>
      <c r="H17" s="1">
        <v>1.02</v>
      </c>
      <c r="I17" s="1">
        <f t="shared" si="6"/>
        <v>0</v>
      </c>
      <c r="J17" s="12">
        <f t="shared" si="7"/>
        <v>0</v>
      </c>
      <c r="K17" s="1">
        <f t="shared" si="8"/>
        <v>1.8918918899999999</v>
      </c>
      <c r="L17" s="1">
        <f t="shared" si="9"/>
        <v>0.66824879000000004</v>
      </c>
      <c r="P17" s="23" t="s">
        <v>22</v>
      </c>
      <c r="Q17" s="18">
        <v>500</v>
      </c>
      <c r="R17" s="24" t="s">
        <v>13</v>
      </c>
      <c r="S17" s="1">
        <v>1</v>
      </c>
      <c r="T17" s="1" t="s">
        <v>24</v>
      </c>
    </row>
    <row r="18" spans="3:20" x14ac:dyDescent="0.4">
      <c r="C18" s="1">
        <v>1.8918918899999999</v>
      </c>
      <c r="D18" s="12">
        <v>0.66824879000000004</v>
      </c>
      <c r="H18" s="1">
        <v>1.02</v>
      </c>
      <c r="I18" s="1">
        <f t="shared" si="6"/>
        <v>0</v>
      </c>
      <c r="J18" s="12">
        <f t="shared" si="7"/>
        <v>0</v>
      </c>
      <c r="K18" s="1">
        <f t="shared" si="8"/>
        <v>1.8918918899999999</v>
      </c>
      <c r="L18" s="1">
        <f t="shared" si="9"/>
        <v>0.66824879000000004</v>
      </c>
      <c r="P18" s="23"/>
      <c r="Q18" s="18"/>
      <c r="R18" s="24"/>
    </row>
    <row r="19" spans="3:20" x14ac:dyDescent="0.4">
      <c r="C19" s="1">
        <v>1.8918918899999999</v>
      </c>
      <c r="D19" s="12">
        <v>0.66824879000000004</v>
      </c>
      <c r="H19" s="1">
        <v>1.02</v>
      </c>
      <c r="I19" s="1">
        <f t="shared" si="6"/>
        <v>0</v>
      </c>
      <c r="J19" s="12">
        <f t="shared" si="7"/>
        <v>0</v>
      </c>
      <c r="K19" s="1">
        <f t="shared" si="8"/>
        <v>1.8918918899999999</v>
      </c>
      <c r="L19" s="1">
        <f t="shared" si="9"/>
        <v>0.66824879000000004</v>
      </c>
      <c r="P19" s="28" t="s">
        <v>12</v>
      </c>
      <c r="Q19" s="29">
        <f>SUM(I12:I48)/([1]SystemInformation!$I$14)*100</f>
        <v>0</v>
      </c>
      <c r="R19" s="30" t="s">
        <v>16</v>
      </c>
    </row>
    <row r="20" spans="3:20" x14ac:dyDescent="0.4">
      <c r="C20" s="1">
        <v>1.8918918899999999</v>
      </c>
      <c r="D20" s="12">
        <v>0.66824879000000004</v>
      </c>
      <c r="H20" s="1">
        <v>1.02</v>
      </c>
      <c r="I20" s="1">
        <f t="shared" si="6"/>
        <v>0</v>
      </c>
      <c r="J20" s="12">
        <f t="shared" si="7"/>
        <v>0</v>
      </c>
      <c r="K20" s="1">
        <f t="shared" si="8"/>
        <v>1.8918918899999999</v>
      </c>
      <c r="L20" s="1">
        <f t="shared" si="9"/>
        <v>0.66824879000000004</v>
      </c>
      <c r="P20" s="23" t="s">
        <v>18</v>
      </c>
      <c r="Q20" s="19">
        <f>(Q16/S16)/C12*100</f>
        <v>0</v>
      </c>
      <c r="R20" s="24" t="s">
        <v>16</v>
      </c>
    </row>
    <row r="21" spans="3:20" x14ac:dyDescent="0.4">
      <c r="C21" s="1">
        <v>1.8918918899999999</v>
      </c>
      <c r="D21" s="12">
        <v>0.66824879000000004</v>
      </c>
      <c r="H21" s="1">
        <v>1.02</v>
      </c>
      <c r="I21" s="1">
        <f t="shared" si="6"/>
        <v>0</v>
      </c>
      <c r="J21" s="12">
        <f t="shared" si="7"/>
        <v>0</v>
      </c>
      <c r="K21" s="1">
        <f t="shared" si="8"/>
        <v>1.8918918899999999</v>
      </c>
      <c r="L21" s="1">
        <f t="shared" si="9"/>
        <v>0.66824879000000004</v>
      </c>
      <c r="P21" s="28" t="s">
        <v>10</v>
      </c>
      <c r="Q21" s="29">
        <f>Q15/([1]SystemInformation!$I$14*1000)*100</f>
        <v>0.12195121951219512</v>
      </c>
      <c r="R21" s="30" t="s">
        <v>16</v>
      </c>
    </row>
    <row r="22" spans="3:20" x14ac:dyDescent="0.4">
      <c r="C22" s="1">
        <v>1.8918918899999999</v>
      </c>
      <c r="D22" s="12">
        <v>0.66824879000000004</v>
      </c>
      <c r="H22" s="1">
        <v>1.02</v>
      </c>
      <c r="I22" s="1">
        <f t="shared" si="6"/>
        <v>0</v>
      </c>
      <c r="J22" s="12">
        <f t="shared" si="7"/>
        <v>0</v>
      </c>
      <c r="K22" s="1">
        <f t="shared" si="8"/>
        <v>1.8918918899999999</v>
      </c>
      <c r="L22" s="1">
        <f t="shared" si="9"/>
        <v>0.66824879000000004</v>
      </c>
      <c r="P22" s="31" t="s">
        <v>11</v>
      </c>
      <c r="Q22" s="29" t="e">
        <f>Q15/(SUM(I12:I48)*1000)*100</f>
        <v>#DIV/0!</v>
      </c>
      <c r="R22" s="30" t="s">
        <v>16</v>
      </c>
    </row>
    <row r="23" spans="3:20" x14ac:dyDescent="0.4">
      <c r="C23" s="1">
        <v>1.8918918899999999</v>
      </c>
      <c r="D23" s="12">
        <v>0.66824879000000004</v>
      </c>
      <c r="H23" s="1">
        <v>1.02</v>
      </c>
      <c r="I23" s="1">
        <f t="shared" si="6"/>
        <v>0</v>
      </c>
      <c r="J23" s="12">
        <f t="shared" si="7"/>
        <v>0</v>
      </c>
      <c r="K23" s="1">
        <f t="shared" si="8"/>
        <v>1.8918918899999999</v>
      </c>
      <c r="L23" s="1">
        <f t="shared" si="9"/>
        <v>0.66824879000000004</v>
      </c>
      <c r="P23" s="23" t="s">
        <v>19</v>
      </c>
      <c r="Q23" s="19">
        <f>(Q15/S15)/(C15*1000)*100</f>
        <v>5.2857142910000006</v>
      </c>
      <c r="R23" s="24" t="s">
        <v>16</v>
      </c>
    </row>
    <row r="24" spans="3:20" x14ac:dyDescent="0.4">
      <c r="C24" s="1">
        <v>1.8918918899999999</v>
      </c>
      <c r="D24" s="12">
        <v>0.66824879000000004</v>
      </c>
      <c r="H24" s="1">
        <v>1.02</v>
      </c>
      <c r="I24" s="1">
        <f t="shared" si="6"/>
        <v>0</v>
      </c>
      <c r="J24" s="12">
        <f t="shared" si="7"/>
        <v>0</v>
      </c>
      <c r="K24" s="1">
        <f t="shared" si="8"/>
        <v>1.8918918899999999</v>
      </c>
      <c r="L24" s="1">
        <f t="shared" si="9"/>
        <v>0.66824879000000004</v>
      </c>
      <c r="P24" s="28" t="s">
        <v>15</v>
      </c>
      <c r="Q24" s="29">
        <f>Q17/([1]SystemInformation!$I$14*1000)*100</f>
        <v>0.6097560975609756</v>
      </c>
      <c r="R24" s="30" t="s">
        <v>16</v>
      </c>
    </row>
    <row r="25" spans="3:20" ht="19.5" thickBot="1" x14ac:dyDescent="0.45">
      <c r="C25" s="1">
        <v>1.8918918899999999</v>
      </c>
      <c r="D25" s="12">
        <v>0.66824879000000004</v>
      </c>
      <c r="H25" s="1">
        <v>1.02</v>
      </c>
      <c r="I25" s="1">
        <f t="shared" si="6"/>
        <v>0</v>
      </c>
      <c r="J25" s="12">
        <f t="shared" si="7"/>
        <v>0</v>
      </c>
      <c r="K25" s="1">
        <f t="shared" si="8"/>
        <v>1.8918918899999999</v>
      </c>
      <c r="L25" s="1">
        <f t="shared" si="9"/>
        <v>0.66824879000000004</v>
      </c>
      <c r="P25" s="25" t="s">
        <v>17</v>
      </c>
      <c r="Q25" s="26">
        <f>(Q17/S17)/(C12*1000)*100</f>
        <v>26.428571455</v>
      </c>
      <c r="R25" s="27" t="s">
        <v>16</v>
      </c>
    </row>
    <row r="26" spans="3:20" x14ac:dyDescent="0.4">
      <c r="C26" s="1">
        <v>1.8918918899999999</v>
      </c>
      <c r="D26" s="12">
        <v>0.66824879000000004</v>
      </c>
      <c r="H26" s="1">
        <v>1.02</v>
      </c>
      <c r="I26" s="1">
        <f t="shared" si="6"/>
        <v>0</v>
      </c>
      <c r="J26" s="12">
        <f t="shared" si="7"/>
        <v>0</v>
      </c>
      <c r="K26" s="1">
        <f t="shared" si="8"/>
        <v>1.8918918899999999</v>
      </c>
      <c r="L26" s="1">
        <f t="shared" si="9"/>
        <v>0.66824879000000004</v>
      </c>
    </row>
    <row r="27" spans="3:20" x14ac:dyDescent="0.4">
      <c r="C27" s="1">
        <v>1.8918918899999999</v>
      </c>
      <c r="D27" s="12">
        <v>0.66824879000000004</v>
      </c>
      <c r="H27" s="1">
        <v>1.02</v>
      </c>
      <c r="I27" s="1">
        <f t="shared" si="6"/>
        <v>0</v>
      </c>
      <c r="J27" s="12">
        <f t="shared" si="7"/>
        <v>0</v>
      </c>
      <c r="K27" s="1">
        <f t="shared" si="8"/>
        <v>1.8918918899999999</v>
      </c>
      <c r="L27" s="1">
        <f t="shared" si="9"/>
        <v>0.66824879000000004</v>
      </c>
    </row>
    <row r="28" spans="3:20" x14ac:dyDescent="0.4">
      <c r="C28" s="1">
        <v>1.8918918899999999</v>
      </c>
      <c r="D28" s="12">
        <v>0.66824879000000004</v>
      </c>
      <c r="H28" s="1">
        <v>1.02</v>
      </c>
      <c r="I28" s="1">
        <f t="shared" si="6"/>
        <v>0</v>
      </c>
      <c r="J28" s="12">
        <f t="shared" si="7"/>
        <v>0</v>
      </c>
      <c r="K28" s="1">
        <f t="shared" si="8"/>
        <v>1.8918918899999999</v>
      </c>
      <c r="L28" s="1">
        <f t="shared" si="9"/>
        <v>0.66824879000000004</v>
      </c>
    </row>
    <row r="29" spans="3:20" x14ac:dyDescent="0.4">
      <c r="C29" s="1">
        <v>1.8918918899999999</v>
      </c>
      <c r="D29" s="12">
        <v>0.66824879000000004</v>
      </c>
      <c r="H29" s="1">
        <v>1.02</v>
      </c>
      <c r="I29" s="1">
        <f t="shared" si="6"/>
        <v>0</v>
      </c>
      <c r="J29" s="12">
        <f t="shared" si="7"/>
        <v>0</v>
      </c>
      <c r="K29" s="1">
        <f t="shared" si="8"/>
        <v>1.8918918899999999</v>
      </c>
      <c r="L29" s="1">
        <f t="shared" si="9"/>
        <v>0.66824879000000004</v>
      </c>
    </row>
    <row r="30" spans="3:20" x14ac:dyDescent="0.4">
      <c r="C30" s="1">
        <v>1.8918918899999999</v>
      </c>
      <c r="D30" s="12">
        <v>0.66824879000000004</v>
      </c>
      <c r="H30" s="1">
        <v>1.02</v>
      </c>
      <c r="I30" s="1">
        <f t="shared" si="6"/>
        <v>0</v>
      </c>
      <c r="J30" s="12">
        <f t="shared" si="7"/>
        <v>0</v>
      </c>
      <c r="K30" s="1">
        <f t="shared" si="8"/>
        <v>1.8918918899999999</v>
      </c>
      <c r="L30" s="1">
        <f t="shared" si="9"/>
        <v>0.66824879000000004</v>
      </c>
    </row>
    <row r="31" spans="3:20" x14ac:dyDescent="0.4">
      <c r="C31" s="1">
        <v>1.8918918899999999</v>
      </c>
      <c r="D31" s="12">
        <v>0.66824879000000004</v>
      </c>
      <c r="H31" s="1">
        <v>1.02</v>
      </c>
      <c r="I31" s="1">
        <f t="shared" si="6"/>
        <v>0</v>
      </c>
      <c r="J31" s="12">
        <f t="shared" si="7"/>
        <v>0</v>
      </c>
      <c r="K31" s="1">
        <f t="shared" si="8"/>
        <v>1.8918918899999999</v>
      </c>
      <c r="L31" s="1">
        <f t="shared" si="9"/>
        <v>0.66824879000000004</v>
      </c>
    </row>
    <row r="32" spans="3:20" x14ac:dyDescent="0.4">
      <c r="C32" s="1">
        <v>1.8918918899999999</v>
      </c>
      <c r="D32" s="12">
        <v>0.66824879000000004</v>
      </c>
      <c r="H32" s="1">
        <v>1.02</v>
      </c>
      <c r="I32" s="1">
        <f t="shared" si="6"/>
        <v>0</v>
      </c>
      <c r="J32" s="12">
        <f t="shared" si="7"/>
        <v>0</v>
      </c>
      <c r="K32" s="1">
        <f t="shared" si="8"/>
        <v>1.8918918899999999</v>
      </c>
      <c r="L32" s="1">
        <f t="shared" si="9"/>
        <v>0.66824879000000004</v>
      </c>
    </row>
    <row r="33" spans="3:12" x14ac:dyDescent="0.4">
      <c r="C33" s="1">
        <v>1.8918918899999999</v>
      </c>
      <c r="D33" s="12">
        <v>0.66824879000000004</v>
      </c>
      <c r="H33" s="1">
        <v>1.02</v>
      </c>
      <c r="I33" s="1">
        <f t="shared" si="6"/>
        <v>0</v>
      </c>
      <c r="J33" s="12">
        <f t="shared" si="7"/>
        <v>0</v>
      </c>
      <c r="K33" s="1">
        <f t="shared" si="8"/>
        <v>1.8918918899999999</v>
      </c>
      <c r="L33" s="1">
        <f t="shared" si="9"/>
        <v>0.66824879000000004</v>
      </c>
    </row>
    <row r="34" spans="3:12" x14ac:dyDescent="0.4">
      <c r="C34" s="1">
        <v>1.8918918899999999</v>
      </c>
      <c r="D34" s="12">
        <v>0.66824879000000004</v>
      </c>
      <c r="H34" s="1">
        <v>1.02</v>
      </c>
      <c r="I34" s="1">
        <f t="shared" si="6"/>
        <v>0</v>
      </c>
      <c r="J34" s="12">
        <f t="shared" si="7"/>
        <v>0</v>
      </c>
      <c r="K34" s="1">
        <f t="shared" si="8"/>
        <v>1.8918918899999999</v>
      </c>
      <c r="L34" s="1">
        <f t="shared" si="9"/>
        <v>0.66824879000000004</v>
      </c>
    </row>
    <row r="35" spans="3:12" x14ac:dyDescent="0.4">
      <c r="C35" s="1">
        <v>1.8918918899999999</v>
      </c>
      <c r="D35" s="12">
        <v>0.66824879000000004</v>
      </c>
      <c r="H35" s="1">
        <v>1.02</v>
      </c>
      <c r="I35" s="1">
        <f t="shared" si="6"/>
        <v>0</v>
      </c>
      <c r="J35" s="12">
        <f t="shared" si="7"/>
        <v>0</v>
      </c>
      <c r="K35" s="1">
        <f t="shared" si="8"/>
        <v>1.8918918899999999</v>
      </c>
      <c r="L35" s="1">
        <f t="shared" si="9"/>
        <v>0.66824879000000004</v>
      </c>
    </row>
    <row r="36" spans="3:12" x14ac:dyDescent="0.4">
      <c r="C36" s="1">
        <v>1.8918918899999999</v>
      </c>
      <c r="D36" s="12">
        <v>0.66824879000000004</v>
      </c>
      <c r="H36" s="1">
        <v>1.02</v>
      </c>
      <c r="I36" s="1">
        <f t="shared" si="6"/>
        <v>0</v>
      </c>
      <c r="J36" s="12">
        <f t="shared" si="7"/>
        <v>0</v>
      </c>
      <c r="K36" s="1">
        <f t="shared" si="8"/>
        <v>1.8918918899999999</v>
      </c>
      <c r="L36" s="1">
        <f t="shared" si="9"/>
        <v>0.66824879000000004</v>
      </c>
    </row>
    <row r="37" spans="3:12" x14ac:dyDescent="0.4">
      <c r="C37" s="1">
        <v>1.8918918899999999</v>
      </c>
      <c r="D37" s="12">
        <v>0.66824879000000004</v>
      </c>
      <c r="H37" s="1">
        <v>1.02</v>
      </c>
      <c r="I37" s="1">
        <f t="shared" si="6"/>
        <v>0</v>
      </c>
      <c r="J37" s="12">
        <f t="shared" si="7"/>
        <v>0</v>
      </c>
      <c r="K37" s="1">
        <f t="shared" si="8"/>
        <v>1.8918918899999999</v>
      </c>
      <c r="L37" s="1">
        <f t="shared" si="9"/>
        <v>0.66824879000000004</v>
      </c>
    </row>
    <row r="38" spans="3:12" x14ac:dyDescent="0.4">
      <c r="C38" s="1">
        <v>1.8918918899999999</v>
      </c>
      <c r="D38" s="12">
        <v>0.66824879000000004</v>
      </c>
      <c r="H38" s="1">
        <v>1.02</v>
      </c>
      <c r="I38" s="1">
        <f t="shared" si="6"/>
        <v>0</v>
      </c>
      <c r="J38" s="12">
        <f t="shared" si="7"/>
        <v>0</v>
      </c>
      <c r="K38" s="1">
        <f t="shared" si="8"/>
        <v>1.8918918899999999</v>
      </c>
      <c r="L38" s="1">
        <f t="shared" si="9"/>
        <v>0.66824879000000004</v>
      </c>
    </row>
    <row r="39" spans="3:12" x14ac:dyDescent="0.4">
      <c r="C39" s="1">
        <v>1.8918918899999999</v>
      </c>
      <c r="D39" s="12">
        <v>0.66824879000000004</v>
      </c>
      <c r="H39" s="1">
        <v>1.02</v>
      </c>
      <c r="I39" s="1">
        <f t="shared" si="6"/>
        <v>0</v>
      </c>
      <c r="J39" s="12">
        <f t="shared" si="7"/>
        <v>0</v>
      </c>
      <c r="K39" s="1">
        <f t="shared" si="8"/>
        <v>1.8918918899999999</v>
      </c>
      <c r="L39" s="1">
        <f t="shared" si="9"/>
        <v>0.66824879000000004</v>
      </c>
    </row>
    <row r="40" spans="3:12" x14ac:dyDescent="0.4">
      <c r="C40" s="1">
        <v>1.8918918899999999</v>
      </c>
      <c r="D40" s="12">
        <v>0.66824879000000004</v>
      </c>
      <c r="H40" s="1">
        <v>1.02</v>
      </c>
      <c r="I40" s="1">
        <f t="shared" si="6"/>
        <v>0</v>
      </c>
      <c r="J40" s="12">
        <f t="shared" si="7"/>
        <v>0</v>
      </c>
      <c r="K40" s="1">
        <f t="shared" si="8"/>
        <v>1.8918918899999999</v>
      </c>
      <c r="L40" s="1">
        <f t="shared" si="9"/>
        <v>0.66824879000000004</v>
      </c>
    </row>
    <row r="41" spans="3:12" x14ac:dyDescent="0.4">
      <c r="C41" s="1">
        <v>1.8918918899999999</v>
      </c>
      <c r="D41" s="12">
        <v>0.66824879000000004</v>
      </c>
      <c r="H41" s="1">
        <v>1.02</v>
      </c>
      <c r="I41" s="1">
        <f t="shared" si="6"/>
        <v>0</v>
      </c>
      <c r="J41" s="12">
        <f t="shared" si="7"/>
        <v>0</v>
      </c>
      <c r="K41" s="1">
        <f t="shared" si="8"/>
        <v>1.8918918899999999</v>
      </c>
      <c r="L41" s="1">
        <f t="shared" si="9"/>
        <v>0.66824879000000004</v>
      </c>
    </row>
    <row r="42" spans="3:12" x14ac:dyDescent="0.4">
      <c r="C42" s="1">
        <v>1.8918918899999999</v>
      </c>
      <c r="D42" s="12">
        <v>0.66824879000000004</v>
      </c>
      <c r="H42" s="1">
        <v>1.02</v>
      </c>
      <c r="I42" s="1">
        <f t="shared" si="6"/>
        <v>0</v>
      </c>
      <c r="J42" s="12">
        <f t="shared" si="7"/>
        <v>0</v>
      </c>
      <c r="K42" s="1">
        <f t="shared" si="8"/>
        <v>1.8918918899999999</v>
      </c>
      <c r="L42" s="1">
        <f t="shared" si="9"/>
        <v>0.66824879000000004</v>
      </c>
    </row>
    <row r="43" spans="3:12" x14ac:dyDescent="0.4">
      <c r="C43" s="1">
        <v>1.8918918899999999</v>
      </c>
      <c r="D43" s="12">
        <v>0.66824879000000004</v>
      </c>
      <c r="H43" s="1">
        <v>1.02</v>
      </c>
      <c r="I43" s="1">
        <f t="shared" si="6"/>
        <v>0</v>
      </c>
      <c r="J43" s="12">
        <f t="shared" si="7"/>
        <v>0</v>
      </c>
      <c r="K43" s="1">
        <f t="shared" si="8"/>
        <v>1.8918918899999999</v>
      </c>
      <c r="L43" s="1">
        <f t="shared" si="9"/>
        <v>0.66824879000000004</v>
      </c>
    </row>
    <row r="44" spans="3:12" x14ac:dyDescent="0.4">
      <c r="C44" s="1">
        <v>1.8918918899999999</v>
      </c>
      <c r="D44" s="12">
        <v>0.66824879000000004</v>
      </c>
      <c r="H44" s="1">
        <v>1.02</v>
      </c>
      <c r="I44" s="1">
        <f t="shared" si="6"/>
        <v>0</v>
      </c>
      <c r="J44" s="12">
        <f t="shared" si="7"/>
        <v>0</v>
      </c>
      <c r="K44" s="1">
        <f t="shared" si="8"/>
        <v>1.8918918899999999</v>
      </c>
      <c r="L44" s="1">
        <f t="shared" si="9"/>
        <v>0.66824879000000004</v>
      </c>
    </row>
    <row r="45" spans="3:12" x14ac:dyDescent="0.4">
      <c r="C45" s="1">
        <v>1.8918918899999999</v>
      </c>
      <c r="D45" s="12">
        <v>0.66824879000000004</v>
      </c>
      <c r="H45" s="1">
        <v>1.02</v>
      </c>
      <c r="I45" s="1">
        <f t="shared" si="6"/>
        <v>0</v>
      </c>
      <c r="J45" s="12">
        <f t="shared" si="7"/>
        <v>0</v>
      </c>
      <c r="K45" s="1">
        <f t="shared" si="8"/>
        <v>1.8918918899999999</v>
      </c>
      <c r="L45" s="1">
        <f t="shared" si="9"/>
        <v>0.66824879000000004</v>
      </c>
    </row>
    <row r="46" spans="3:12" x14ac:dyDescent="0.4">
      <c r="C46" s="1">
        <v>1.8918918899999999</v>
      </c>
      <c r="D46" s="12">
        <v>0.66824879000000004</v>
      </c>
      <c r="H46" s="1">
        <v>1.02</v>
      </c>
      <c r="I46" s="1">
        <f t="shared" si="6"/>
        <v>0</v>
      </c>
      <c r="J46" s="12">
        <f t="shared" si="7"/>
        <v>0</v>
      </c>
      <c r="K46" s="1">
        <f t="shared" si="8"/>
        <v>1.8918918899999999</v>
      </c>
      <c r="L46" s="1">
        <f t="shared" si="9"/>
        <v>0.66824879000000004</v>
      </c>
    </row>
    <row r="47" spans="3:12" x14ac:dyDescent="0.4">
      <c r="C47" s="1">
        <v>1.8918918899999999</v>
      </c>
      <c r="D47" s="12">
        <v>0.66824879000000004</v>
      </c>
      <c r="H47" s="1">
        <v>1.02</v>
      </c>
      <c r="I47" s="1">
        <f t="shared" si="6"/>
        <v>0</v>
      </c>
      <c r="J47" s="12">
        <f t="shared" si="7"/>
        <v>0</v>
      </c>
      <c r="K47" s="1">
        <f t="shared" si="8"/>
        <v>1.8918918899999999</v>
      </c>
      <c r="L47" s="1">
        <f t="shared" si="9"/>
        <v>0.66824879000000004</v>
      </c>
    </row>
    <row r="48" spans="3:12" x14ac:dyDescent="0.4">
      <c r="C48" s="1">
        <v>1.8918918899999999</v>
      </c>
      <c r="D48" s="12">
        <v>0.66824879000000004</v>
      </c>
      <c r="H48" s="1">
        <v>1.02</v>
      </c>
      <c r="I48" s="1">
        <f>C48*$S$3</f>
        <v>0</v>
      </c>
      <c r="J48" s="12">
        <f t="shared" si="7"/>
        <v>0</v>
      </c>
      <c r="K48" s="1">
        <f t="shared" si="8"/>
        <v>1.8918918899999999</v>
      </c>
      <c r="L48" s="1">
        <f t="shared" si="9"/>
        <v>0.66824879000000004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7274-35D9-4D32-942C-D6E417ACAA39}">
  <dimension ref="A1:W48"/>
  <sheetViews>
    <sheetView tabSelected="1" workbookViewId="0">
      <selection activeCell="P4" sqref="P4"/>
    </sheetView>
  </sheetViews>
  <sheetFormatPr defaultRowHeight="18.75" x14ac:dyDescent="0.4"/>
  <cols>
    <col min="1" max="4" width="9" style="1"/>
    <col min="5" max="6" width="9.375" style="1" customWidth="1"/>
    <col min="7" max="7" width="15.625" style="1" customWidth="1"/>
    <col min="8" max="8" width="18.375" style="1" bestFit="1" customWidth="1"/>
    <col min="9" max="11" width="9" style="1"/>
    <col min="12" max="12" width="17.5" style="1" customWidth="1"/>
    <col min="13" max="13" width="15.25" style="1" customWidth="1"/>
    <col min="14" max="14" width="47.5" style="1" customWidth="1"/>
    <col min="15" max="15" width="9" style="1"/>
    <col min="16" max="16" width="31" style="1" customWidth="1"/>
    <col min="17" max="18" width="9" style="1"/>
    <col min="19" max="19" width="19.25" style="1" bestFit="1" customWidth="1"/>
    <col min="20" max="20" width="10" style="1" bestFit="1" customWidth="1"/>
    <col min="21" max="16384" width="9" style="1"/>
  </cols>
  <sheetData>
    <row r="1" spans="1:23" x14ac:dyDescent="0.4">
      <c r="A1" s="1" t="s">
        <v>27</v>
      </c>
      <c r="B1" s="1" t="s">
        <v>26</v>
      </c>
      <c r="D1" s="1">
        <f>SUM(D2:D48)</f>
        <v>60.609756099999998</v>
      </c>
      <c r="E1" s="1">
        <f t="shared" ref="E1:G1" si="0">SUM(E2:E48)</f>
        <v>28.964970000000005</v>
      </c>
      <c r="F1" s="1">
        <f t="shared" si="0"/>
        <v>69.99999992999993</v>
      </c>
      <c r="G1" s="1">
        <f t="shared" si="0"/>
        <v>53.690175249999996</v>
      </c>
      <c r="H1" s="16"/>
      <c r="L1" s="1">
        <f>SUM(L2:L48)</f>
        <v>72.509756088099877</v>
      </c>
      <c r="M1" s="1">
        <f t="shared" ref="M1:O1" si="1">SUM(M2:M48)</f>
        <v>28.964970000000051</v>
      </c>
      <c r="N1" s="1">
        <f t="shared" si="1"/>
        <v>69.99999992999993</v>
      </c>
      <c r="O1" s="1">
        <f t="shared" si="1"/>
        <v>24.725205229999997</v>
      </c>
      <c r="P1" s="14"/>
    </row>
    <row r="2" spans="1:23" x14ac:dyDescent="0.4">
      <c r="A2" s="1">
        <v>10</v>
      </c>
      <c r="B2" s="1">
        <v>10</v>
      </c>
      <c r="C2" s="32">
        <v>5.9756097600000002</v>
      </c>
      <c r="D2" s="1">
        <f>C2*B2/A2*C14</f>
        <v>5.9756097600000002</v>
      </c>
      <c r="E2" s="1">
        <v>2.66181</v>
      </c>
      <c r="G2" s="1">
        <v>2.4726193900000002</v>
      </c>
      <c r="H2" s="9"/>
      <c r="I2" s="9">
        <f>D2/SUM($D$2:$D$11)</f>
        <v>9.8591549356193506E-2</v>
      </c>
      <c r="K2" s="1">
        <v>1.0069999999999999</v>
      </c>
      <c r="L2" s="1">
        <f>D2</f>
        <v>5.9756097600000002</v>
      </c>
      <c r="M2" s="17">
        <f>(SUM($E$2:$E$11)-SUM($M$12:$M$48))*I2</f>
        <v>2.4412928997538192</v>
      </c>
      <c r="P2" s="15"/>
      <c r="R2" s="2"/>
      <c r="S2" s="3" t="s">
        <v>0</v>
      </c>
      <c r="T2" s="4"/>
      <c r="V2" s="10" t="s">
        <v>8</v>
      </c>
      <c r="W2" s="1" t="s">
        <v>25</v>
      </c>
    </row>
    <row r="3" spans="1:23" x14ac:dyDescent="0.4">
      <c r="A3" s="1">
        <v>11</v>
      </c>
      <c r="B3" s="1">
        <v>11</v>
      </c>
      <c r="C3" s="32">
        <v>9.3902438999999998</v>
      </c>
      <c r="D3" s="1">
        <f t="shared" ref="D3:D11" si="2">C3*B3/A3*C15</f>
        <v>9.3902438999999998</v>
      </c>
      <c r="E3" s="1">
        <v>3.8677600000000001</v>
      </c>
      <c r="G3" s="1">
        <v>3.8855447600000002</v>
      </c>
      <c r="H3" s="9"/>
      <c r="I3" s="9">
        <f>D3/SUM($D$2:$D$11)</f>
        <v>0.1549295774183127</v>
      </c>
      <c r="K3" s="1">
        <v>1.0049999999999999</v>
      </c>
      <c r="L3" s="1">
        <f t="shared" ref="L3:L11" si="3">D3</f>
        <v>9.3902438999999998</v>
      </c>
      <c r="M3" s="17">
        <f>(SUM($E$2:$E$11)-SUM($M$12:$M$48))*I3</f>
        <v>3.8363174103970628</v>
      </c>
      <c r="P3" s="15"/>
      <c r="R3" s="3" t="s">
        <v>1</v>
      </c>
      <c r="S3" s="4">
        <f>SUM(D2:D11)/[1]SystemInformation!$I$14*100</f>
        <v>73.914336707317077</v>
      </c>
      <c r="T3" s="2" t="s">
        <v>2</v>
      </c>
      <c r="V3" s="11">
        <v>0.17</v>
      </c>
      <c r="W3" s="1">
        <v>12</v>
      </c>
    </row>
    <row r="4" spans="1:23" x14ac:dyDescent="0.4">
      <c r="A4" s="1">
        <v>24</v>
      </c>
      <c r="B4" s="1">
        <v>24</v>
      </c>
      <c r="C4" s="32">
        <v>5.1219512199999997</v>
      </c>
      <c r="D4" s="1">
        <f t="shared" si="2"/>
        <v>5.1219512199999997</v>
      </c>
      <c r="E4" s="1">
        <v>1.4516500000000001</v>
      </c>
      <c r="G4" s="1">
        <v>2.11938805</v>
      </c>
      <c r="H4" s="9"/>
      <c r="I4" s="9">
        <f>D4/SUM($D$2:$D$11)</f>
        <v>8.4507042258168727E-2</v>
      </c>
      <c r="K4" s="1">
        <v>1.02</v>
      </c>
      <c r="L4" s="1">
        <f t="shared" si="3"/>
        <v>5.1219512199999997</v>
      </c>
      <c r="M4" s="17">
        <f t="shared" ref="M4:M11" si="4">(SUM($E$2:$E$11)-SUM($M$12:$M$48))*I4</f>
        <v>2.0925367700502937</v>
      </c>
      <c r="P4" s="15"/>
      <c r="R4" s="3" t="s">
        <v>3</v>
      </c>
      <c r="S4" s="4">
        <f>SUM(F12:F48)/[1]SystemInformation!$I$14*100</f>
        <v>85.365853573170654</v>
      </c>
      <c r="T4" s="2" t="s">
        <v>2</v>
      </c>
      <c r="W4" s="1">
        <f>W3/SUM(F12:F48)*100</f>
        <v>17.142857160000016</v>
      </c>
    </row>
    <row r="5" spans="1:23" x14ac:dyDescent="0.4">
      <c r="A5" s="1">
        <v>11</v>
      </c>
      <c r="B5" s="1">
        <v>11</v>
      </c>
      <c r="C5" s="32">
        <v>9.3902438999999998</v>
      </c>
      <c r="D5" s="1">
        <f t="shared" si="2"/>
        <v>9.3902438999999998</v>
      </c>
      <c r="E5" s="1">
        <v>3.7865000000000002</v>
      </c>
      <c r="G5" s="1">
        <v>3.8855447600000002</v>
      </c>
      <c r="H5" s="9"/>
      <c r="I5" s="9">
        <f>D5/SUM($D$2:$D$11)</f>
        <v>0.1549295774183127</v>
      </c>
      <c r="K5" s="1">
        <v>1.0049999999999999</v>
      </c>
      <c r="L5" s="1">
        <f t="shared" si="3"/>
        <v>9.3902438999999998</v>
      </c>
      <c r="M5" s="17">
        <f t="shared" si="4"/>
        <v>3.8363174103970628</v>
      </c>
      <c r="P5" s="15"/>
    </row>
    <row r="6" spans="1:23" x14ac:dyDescent="0.4">
      <c r="A6" s="1">
        <v>24</v>
      </c>
      <c r="B6" s="1">
        <v>24</v>
      </c>
      <c r="C6" s="32">
        <v>5.1219512199999997</v>
      </c>
      <c r="D6" s="1">
        <f t="shared" si="2"/>
        <v>5.1219512199999997</v>
      </c>
      <c r="E6" s="1">
        <v>1.6435999999999999</v>
      </c>
      <c r="G6" s="1">
        <v>2.11938805</v>
      </c>
      <c r="H6" s="9"/>
      <c r="I6" s="9">
        <f>D6/SUM($D$2:$D$11)</f>
        <v>8.4507042258168727E-2</v>
      </c>
      <c r="K6" s="1">
        <v>1.02</v>
      </c>
      <c r="L6" s="1">
        <f t="shared" si="3"/>
        <v>5.1219512199999997</v>
      </c>
      <c r="M6" s="17">
        <f t="shared" si="4"/>
        <v>2.0925367700502937</v>
      </c>
      <c r="P6" s="15"/>
      <c r="R6" s="5" t="s">
        <v>4</v>
      </c>
      <c r="S6" s="6">
        <v>50</v>
      </c>
      <c r="T6" s="7" t="s">
        <v>5</v>
      </c>
      <c r="U6" s="8" t="s">
        <v>6</v>
      </c>
      <c r="V6" s="6">
        <f>S6/((N12-L12)*1000)</f>
        <v>3.184165235542169E-2</v>
      </c>
      <c r="W6" s="8" t="s">
        <v>7</v>
      </c>
    </row>
    <row r="7" spans="1:23" x14ac:dyDescent="0.4">
      <c r="A7" s="1">
        <v>11</v>
      </c>
      <c r="B7" s="1">
        <v>11</v>
      </c>
      <c r="C7" s="32">
        <v>9.3902438999999998</v>
      </c>
      <c r="D7" s="1">
        <f t="shared" si="2"/>
        <v>9.3902438999999998</v>
      </c>
      <c r="E7" s="1">
        <v>3.9774699999999998</v>
      </c>
      <c r="G7" s="1">
        <v>3.8855447600000002</v>
      </c>
      <c r="H7" s="9"/>
      <c r="I7" s="9">
        <f>D7/SUM($D$2:$D$11)</f>
        <v>0.1549295774183127</v>
      </c>
      <c r="K7" s="1">
        <v>1.0049999999999999</v>
      </c>
      <c r="L7" s="1">
        <f t="shared" si="3"/>
        <v>9.3902438999999998</v>
      </c>
      <c r="M7" s="17">
        <f t="shared" si="4"/>
        <v>3.8363174103970628</v>
      </c>
      <c r="P7" s="15"/>
      <c r="R7" s="5" t="s">
        <v>4</v>
      </c>
      <c r="S7" s="6">
        <v>150</v>
      </c>
      <c r="T7" s="7" t="s">
        <v>5</v>
      </c>
      <c r="U7" s="8" t="s">
        <v>6</v>
      </c>
      <c r="V7" s="6">
        <f t="shared" ref="V7:V9" si="5">S7/((N13-L13)*1000)</f>
        <v>9.552495706626507E-2</v>
      </c>
      <c r="W7" s="8" t="s">
        <v>7</v>
      </c>
    </row>
    <row r="8" spans="1:23" x14ac:dyDescent="0.4">
      <c r="A8" s="1">
        <v>11</v>
      </c>
      <c r="B8" s="1">
        <v>0</v>
      </c>
      <c r="C8" s="32">
        <v>9.3902438999999998</v>
      </c>
      <c r="D8" s="1">
        <f t="shared" si="2"/>
        <v>0</v>
      </c>
      <c r="E8" s="1">
        <v>5.7533399999999997</v>
      </c>
      <c r="G8" s="1">
        <v>3.8855447600000002</v>
      </c>
      <c r="H8" s="9"/>
      <c r="I8" s="9">
        <f>D8/SUM($D$2:$D$11)</f>
        <v>0</v>
      </c>
      <c r="K8" s="1">
        <v>1.02</v>
      </c>
      <c r="L8" s="1">
        <f t="shared" si="3"/>
        <v>0</v>
      </c>
      <c r="M8" s="17">
        <f t="shared" si="4"/>
        <v>0</v>
      </c>
      <c r="P8" s="15"/>
      <c r="R8" s="5" t="s">
        <v>4</v>
      </c>
      <c r="S8" s="6">
        <v>250</v>
      </c>
      <c r="T8" s="7" t="s">
        <v>5</v>
      </c>
      <c r="U8" s="8" t="s">
        <v>6</v>
      </c>
      <c r="V8" s="6">
        <f t="shared" si="5"/>
        <v>0.15920826177710845</v>
      </c>
      <c r="W8" s="8" t="s">
        <v>7</v>
      </c>
    </row>
    <row r="9" spans="1:23" x14ac:dyDescent="0.4">
      <c r="A9" s="1">
        <v>10</v>
      </c>
      <c r="B9" s="1">
        <v>10</v>
      </c>
      <c r="C9" s="32">
        <v>5.9756097600000002</v>
      </c>
      <c r="D9" s="1">
        <f t="shared" si="2"/>
        <v>5.9756097600000002</v>
      </c>
      <c r="E9" s="1">
        <v>1.7342200000000001</v>
      </c>
      <c r="G9" s="1">
        <v>2.4726193900000002</v>
      </c>
      <c r="H9" s="9"/>
      <c r="I9" s="9">
        <f>D9/SUM($D$2:$D$11)</f>
        <v>9.8591549356193506E-2</v>
      </c>
      <c r="K9" s="1">
        <v>1.02</v>
      </c>
      <c r="L9" s="1">
        <f t="shared" si="3"/>
        <v>5.9756097600000002</v>
      </c>
      <c r="M9" s="17">
        <f t="shared" si="4"/>
        <v>2.4412928997538192</v>
      </c>
      <c r="P9" s="15"/>
      <c r="R9" s="5" t="s">
        <v>4</v>
      </c>
      <c r="S9" s="6">
        <v>350</v>
      </c>
      <c r="T9" s="7" t="s">
        <v>5</v>
      </c>
      <c r="U9" s="8" t="s">
        <v>6</v>
      </c>
      <c r="V9" s="6">
        <f t="shared" si="5"/>
        <v>0.22289156648795183</v>
      </c>
      <c r="W9" s="8" t="s">
        <v>7</v>
      </c>
    </row>
    <row r="10" spans="1:23" x14ac:dyDescent="0.4">
      <c r="A10" s="1">
        <v>10</v>
      </c>
      <c r="B10" s="1">
        <v>10</v>
      </c>
      <c r="C10" s="32">
        <v>5.9756097600000002</v>
      </c>
      <c r="D10" s="1">
        <f t="shared" si="2"/>
        <v>5.9756097600000002</v>
      </c>
      <c r="E10" s="1">
        <v>1.8297300000000001</v>
      </c>
      <c r="G10" s="1">
        <v>2.4726193900000002</v>
      </c>
      <c r="H10" s="9"/>
      <c r="I10" s="9">
        <f>D10/SUM($D$2:$D$11)</f>
        <v>9.8591549356193506E-2</v>
      </c>
      <c r="K10" s="1">
        <v>1.02</v>
      </c>
      <c r="L10" s="1">
        <f t="shared" si="3"/>
        <v>5.9756097600000002</v>
      </c>
      <c r="M10" s="17">
        <f t="shared" si="4"/>
        <v>2.4412928997538192</v>
      </c>
      <c r="P10" s="15"/>
      <c r="R10" s="5" t="s">
        <v>4</v>
      </c>
      <c r="S10" s="6">
        <v>500</v>
      </c>
      <c r="T10" s="7" t="s">
        <v>5</v>
      </c>
      <c r="U10" s="8" t="s">
        <v>6</v>
      </c>
      <c r="V10" s="6">
        <f>S10/((N16-L16)*1000)</f>
        <v>0.3184165235542169</v>
      </c>
      <c r="W10" s="8" t="s">
        <v>7</v>
      </c>
    </row>
    <row r="11" spans="1:23" x14ac:dyDescent="0.4">
      <c r="A11" s="1">
        <v>10</v>
      </c>
      <c r="B11" s="1">
        <v>10</v>
      </c>
      <c r="C11" s="32">
        <v>4.2682926800000001</v>
      </c>
      <c r="D11" s="1">
        <f t="shared" si="2"/>
        <v>4.2682926800000001</v>
      </c>
      <c r="E11" s="1">
        <v>2.2588900000000001</v>
      </c>
      <c r="G11" s="1">
        <v>1.76615671</v>
      </c>
      <c r="H11" s="9"/>
      <c r="I11" s="9">
        <f>D11/SUM($D$2:$D$11)</f>
        <v>7.0422535160143962E-2</v>
      </c>
      <c r="K11" s="1">
        <v>1.0149999999999999</v>
      </c>
      <c r="L11" s="1">
        <f t="shared" si="3"/>
        <v>4.2682926800000001</v>
      </c>
      <c r="M11" s="17">
        <f t="shared" si="4"/>
        <v>1.7437806403467686</v>
      </c>
      <c r="P11" s="15"/>
    </row>
    <row r="12" spans="1:23" x14ac:dyDescent="0.4">
      <c r="F12" s="1">
        <v>1.8918918899999999</v>
      </c>
      <c r="G12" s="12">
        <v>0.66824879000000004</v>
      </c>
      <c r="K12" s="1">
        <v>1.02</v>
      </c>
      <c r="L12" s="1">
        <f>F12*$V$3</f>
        <v>0.32162162129999999</v>
      </c>
      <c r="M12" s="12">
        <f>G12*$V$3</f>
        <v>0.11360229430000002</v>
      </c>
      <c r="N12" s="13">
        <f>F12</f>
        <v>1.8918918899999999</v>
      </c>
      <c r="O12" s="1">
        <f>G12</f>
        <v>0.66824879000000004</v>
      </c>
    </row>
    <row r="13" spans="1:23" x14ac:dyDescent="0.4">
      <c r="F13" s="1">
        <v>1.8918918899999999</v>
      </c>
      <c r="G13" s="12">
        <v>0.66824879000000004</v>
      </c>
      <c r="K13" s="1">
        <v>1.02</v>
      </c>
      <c r="L13" s="1">
        <f t="shared" ref="L13:M48" si="6">F13*$V$3</f>
        <v>0.32162162129999999</v>
      </c>
      <c r="M13" s="12">
        <f t="shared" si="6"/>
        <v>0.11360229430000002</v>
      </c>
      <c r="N13" s="1">
        <f t="shared" ref="N13:O48" si="7">F13</f>
        <v>1.8918918899999999</v>
      </c>
      <c r="O13" s="1">
        <f t="shared" si="7"/>
        <v>0.66824879000000004</v>
      </c>
    </row>
    <row r="14" spans="1:23" ht="19.5" thickBot="1" x14ac:dyDescent="0.45">
      <c r="C14" s="1">
        <f>IF(A2-B2,0,1)</f>
        <v>1</v>
      </c>
      <c r="F14" s="1">
        <v>1.8918918899999999</v>
      </c>
      <c r="G14" s="12">
        <v>0.66824879000000004</v>
      </c>
      <c r="K14" s="1">
        <v>1.02</v>
      </c>
      <c r="L14" s="1">
        <f t="shared" si="6"/>
        <v>0.32162162129999999</v>
      </c>
      <c r="M14" s="12">
        <f t="shared" si="6"/>
        <v>0.11360229430000002</v>
      </c>
      <c r="N14" s="1">
        <f t="shared" si="7"/>
        <v>1.8918918899999999</v>
      </c>
      <c r="O14" s="1">
        <f t="shared" si="7"/>
        <v>0.66824879000000004</v>
      </c>
      <c r="S14" s="1" t="s">
        <v>14</v>
      </c>
    </row>
    <row r="15" spans="1:23" x14ac:dyDescent="0.4">
      <c r="C15" s="1">
        <f>IF(A3-B3,0,1)</f>
        <v>1</v>
      </c>
      <c r="F15" s="1">
        <v>1.8918918899999999</v>
      </c>
      <c r="G15" s="12">
        <v>0.66824879000000004</v>
      </c>
      <c r="K15" s="1">
        <v>1.02</v>
      </c>
      <c r="L15" s="1">
        <f t="shared" si="6"/>
        <v>0.32162162129999999</v>
      </c>
      <c r="M15" s="12">
        <f t="shared" si="6"/>
        <v>0.11360229430000002</v>
      </c>
      <c r="N15" s="1">
        <f t="shared" si="7"/>
        <v>1.8918918899999999</v>
      </c>
      <c r="O15" s="1">
        <f t="shared" si="7"/>
        <v>0.66824879000000004</v>
      </c>
      <c r="S15" s="20" t="s">
        <v>21</v>
      </c>
      <c r="T15" s="21">
        <v>100</v>
      </c>
      <c r="U15" s="22" t="s">
        <v>9</v>
      </c>
      <c r="V15" s="1">
        <v>1</v>
      </c>
      <c r="W15" s="1" t="s">
        <v>23</v>
      </c>
    </row>
    <row r="16" spans="1:23" x14ac:dyDescent="0.4">
      <c r="C16" s="1">
        <f>IF(A4-B4,0,1)</f>
        <v>1</v>
      </c>
      <c r="F16" s="1">
        <v>1.8918918899999999</v>
      </c>
      <c r="G16" s="12">
        <v>0.66824879000000004</v>
      </c>
      <c r="K16" s="1">
        <v>1.02</v>
      </c>
      <c r="L16" s="1">
        <f t="shared" si="6"/>
        <v>0.32162162129999999</v>
      </c>
      <c r="M16" s="12">
        <f t="shared" si="6"/>
        <v>0.11360229430000002</v>
      </c>
      <c r="N16" s="1">
        <f t="shared" si="7"/>
        <v>1.8918918899999999</v>
      </c>
      <c r="O16" s="1">
        <f t="shared" si="7"/>
        <v>0.66824879000000004</v>
      </c>
      <c r="S16" s="23" t="s">
        <v>20</v>
      </c>
      <c r="T16" s="18">
        <f>SUM(L12:L48)*1000</f>
        <v>11899.999988100004</v>
      </c>
      <c r="U16" s="24" t="s">
        <v>13</v>
      </c>
      <c r="V16" s="1">
        <v>37</v>
      </c>
      <c r="W16" s="1" t="s">
        <v>23</v>
      </c>
    </row>
    <row r="17" spans="3:23" x14ac:dyDescent="0.4">
      <c r="C17" s="1">
        <f>IF(A5-B5,0,1)</f>
        <v>1</v>
      </c>
      <c r="F17" s="1">
        <v>1.8918918899999999</v>
      </c>
      <c r="G17" s="12">
        <v>0.66824879000000004</v>
      </c>
      <c r="K17" s="1">
        <v>1.02</v>
      </c>
      <c r="L17" s="1">
        <f t="shared" si="6"/>
        <v>0.32162162129999999</v>
      </c>
      <c r="M17" s="12">
        <f t="shared" si="6"/>
        <v>0.11360229430000002</v>
      </c>
      <c r="N17" s="1">
        <f t="shared" si="7"/>
        <v>1.8918918899999999</v>
      </c>
      <c r="O17" s="1">
        <f t="shared" si="7"/>
        <v>0.66824879000000004</v>
      </c>
      <c r="S17" s="23" t="s">
        <v>22</v>
      </c>
      <c r="T17" s="18">
        <v>500</v>
      </c>
      <c r="U17" s="24" t="s">
        <v>13</v>
      </c>
      <c r="V17" s="1">
        <v>1</v>
      </c>
      <c r="W17" s="1" t="s">
        <v>24</v>
      </c>
    </row>
    <row r="18" spans="3:23" x14ac:dyDescent="0.4">
      <c r="C18" s="1">
        <f>IF(A6-B6,0,1)</f>
        <v>1</v>
      </c>
      <c r="F18" s="1">
        <v>1.8918918899999999</v>
      </c>
      <c r="G18" s="12">
        <v>0.66824879000000004</v>
      </c>
      <c r="K18" s="1">
        <v>1.02</v>
      </c>
      <c r="L18" s="1">
        <f t="shared" si="6"/>
        <v>0.32162162129999999</v>
      </c>
      <c r="M18" s="12">
        <f t="shared" si="6"/>
        <v>0.11360229430000002</v>
      </c>
      <c r="N18" s="1">
        <f t="shared" si="7"/>
        <v>1.8918918899999999</v>
      </c>
      <c r="O18" s="1">
        <f t="shared" si="7"/>
        <v>0.66824879000000004</v>
      </c>
      <c r="S18" s="23"/>
      <c r="T18" s="18"/>
      <c r="U18" s="24"/>
    </row>
    <row r="19" spans="3:23" x14ac:dyDescent="0.4">
      <c r="C19" s="1">
        <f>IF(A7-B7,0,1)</f>
        <v>1</v>
      </c>
      <c r="F19" s="1">
        <v>1.8918918899999999</v>
      </c>
      <c r="G19" s="12">
        <v>0.66824879000000004</v>
      </c>
      <c r="K19" s="1">
        <v>1.02</v>
      </c>
      <c r="L19" s="1">
        <f t="shared" si="6"/>
        <v>0.32162162129999999</v>
      </c>
      <c r="M19" s="12">
        <f t="shared" si="6"/>
        <v>0.11360229430000002</v>
      </c>
      <c r="N19" s="1">
        <f t="shared" si="7"/>
        <v>1.8918918899999999</v>
      </c>
      <c r="O19" s="1">
        <f t="shared" si="7"/>
        <v>0.66824879000000004</v>
      </c>
      <c r="S19" s="28" t="s">
        <v>12</v>
      </c>
      <c r="T19" s="29">
        <f>SUM(L12:L48)/([1]SystemInformation!$I$14)*100</f>
        <v>14.51219510743903</v>
      </c>
      <c r="U19" s="30" t="s">
        <v>16</v>
      </c>
    </row>
    <row r="20" spans="3:23" x14ac:dyDescent="0.4">
      <c r="C20" s="1">
        <f>IF(A8-B8,0,1)</f>
        <v>0</v>
      </c>
      <c r="F20" s="1">
        <v>1.8918918899999999</v>
      </c>
      <c r="G20" s="12">
        <v>0.66824879000000004</v>
      </c>
      <c r="K20" s="1">
        <v>1.02</v>
      </c>
      <c r="L20" s="1">
        <f t="shared" si="6"/>
        <v>0.32162162129999999</v>
      </c>
      <c r="M20" s="12">
        <f t="shared" si="6"/>
        <v>0.11360229430000002</v>
      </c>
      <c r="N20" s="1">
        <f t="shared" si="7"/>
        <v>1.8918918899999999</v>
      </c>
      <c r="O20" s="1">
        <f t="shared" si="7"/>
        <v>0.66824879000000004</v>
      </c>
      <c r="S20" s="23" t="s">
        <v>18</v>
      </c>
      <c r="T20" s="19">
        <f>(T16/V16)/F12*100</f>
        <v>17000.000000000007</v>
      </c>
      <c r="U20" s="24" t="s">
        <v>16</v>
      </c>
    </row>
    <row r="21" spans="3:23" x14ac:dyDescent="0.4">
      <c r="C21" s="1">
        <f>IF(A9-B9,0,1)</f>
        <v>1</v>
      </c>
      <c r="F21" s="1">
        <v>1.8918918899999999</v>
      </c>
      <c r="G21" s="12">
        <v>0.66824879000000004</v>
      </c>
      <c r="K21" s="1">
        <v>1.02</v>
      </c>
      <c r="L21" s="1">
        <f t="shared" si="6"/>
        <v>0.32162162129999999</v>
      </c>
      <c r="M21" s="12">
        <f t="shared" si="6"/>
        <v>0.11360229430000002</v>
      </c>
      <c r="N21" s="1">
        <f t="shared" si="7"/>
        <v>1.8918918899999999</v>
      </c>
      <c r="O21" s="1">
        <f t="shared" si="7"/>
        <v>0.66824879000000004</v>
      </c>
      <c r="S21" s="28" t="s">
        <v>10</v>
      </c>
      <c r="T21" s="29">
        <f>T15/([1]SystemInformation!$I$14*1000)*100</f>
        <v>0.12195121951219512</v>
      </c>
      <c r="U21" s="30" t="s">
        <v>16</v>
      </c>
    </row>
    <row r="22" spans="3:23" x14ac:dyDescent="0.4">
      <c r="C22" s="1">
        <f>IF(A10-B10,0,1)</f>
        <v>1</v>
      </c>
      <c r="F22" s="1">
        <v>1.8918918899999999</v>
      </c>
      <c r="G22" s="12">
        <v>0.66824879000000004</v>
      </c>
      <c r="K22" s="1">
        <v>1.02</v>
      </c>
      <c r="L22" s="1">
        <f t="shared" si="6"/>
        <v>0.32162162129999999</v>
      </c>
      <c r="M22" s="12">
        <f t="shared" si="6"/>
        <v>0.11360229430000002</v>
      </c>
      <c r="N22" s="1">
        <f t="shared" si="7"/>
        <v>1.8918918899999999</v>
      </c>
      <c r="O22" s="1">
        <f t="shared" si="7"/>
        <v>0.66824879000000004</v>
      </c>
      <c r="S22" s="31" t="s">
        <v>11</v>
      </c>
      <c r="T22" s="29">
        <f>T15/(SUM(L12:L48)*1000)*100</f>
        <v>0.84033613529411744</v>
      </c>
      <c r="U22" s="30" t="s">
        <v>16</v>
      </c>
    </row>
    <row r="23" spans="3:23" x14ac:dyDescent="0.4">
      <c r="C23" s="1">
        <f>IF(A11-B11,0,1)</f>
        <v>1</v>
      </c>
      <c r="F23" s="1">
        <v>1.8918918899999999</v>
      </c>
      <c r="G23" s="12">
        <v>0.66824879000000004</v>
      </c>
      <c r="K23" s="1">
        <v>1.02</v>
      </c>
      <c r="L23" s="1">
        <f t="shared" si="6"/>
        <v>0.32162162129999999</v>
      </c>
      <c r="M23" s="12">
        <f t="shared" si="6"/>
        <v>0.11360229430000002</v>
      </c>
      <c r="N23" s="1">
        <f t="shared" si="7"/>
        <v>1.8918918899999999</v>
      </c>
      <c r="O23" s="1">
        <f t="shared" si="7"/>
        <v>0.66824879000000004</v>
      </c>
      <c r="S23" s="23" t="s">
        <v>19</v>
      </c>
      <c r="T23" s="19">
        <f>(T15/V15)/(F15*1000)*100</f>
        <v>5.2857142910000006</v>
      </c>
      <c r="U23" s="24" t="s">
        <v>16</v>
      </c>
    </row>
    <row r="24" spans="3:23" x14ac:dyDescent="0.4">
      <c r="F24" s="1">
        <v>1.8918918899999999</v>
      </c>
      <c r="G24" s="12">
        <v>0.66824879000000004</v>
      </c>
      <c r="K24" s="1">
        <v>1.02</v>
      </c>
      <c r="L24" s="1">
        <f t="shared" si="6"/>
        <v>0.32162162129999999</v>
      </c>
      <c r="M24" s="12">
        <f t="shared" si="6"/>
        <v>0.11360229430000002</v>
      </c>
      <c r="N24" s="1">
        <f t="shared" si="7"/>
        <v>1.8918918899999999</v>
      </c>
      <c r="O24" s="1">
        <f t="shared" si="7"/>
        <v>0.66824879000000004</v>
      </c>
      <c r="S24" s="28" t="s">
        <v>15</v>
      </c>
      <c r="T24" s="29">
        <f>T17/([1]SystemInformation!$I$14*1000)*100</f>
        <v>0.6097560975609756</v>
      </c>
      <c r="U24" s="30" t="s">
        <v>16</v>
      </c>
    </row>
    <row r="25" spans="3:23" ht="19.5" thickBot="1" x14ac:dyDescent="0.45">
      <c r="F25" s="1">
        <v>1.8918918899999999</v>
      </c>
      <c r="G25" s="12">
        <v>0.66824879000000004</v>
      </c>
      <c r="K25" s="1">
        <v>1.02</v>
      </c>
      <c r="L25" s="1">
        <f t="shared" si="6"/>
        <v>0.32162162129999999</v>
      </c>
      <c r="M25" s="12">
        <f t="shared" si="6"/>
        <v>0.11360229430000002</v>
      </c>
      <c r="N25" s="1">
        <f t="shared" si="7"/>
        <v>1.8918918899999999</v>
      </c>
      <c r="O25" s="1">
        <f t="shared" si="7"/>
        <v>0.66824879000000004</v>
      </c>
      <c r="S25" s="25" t="s">
        <v>17</v>
      </c>
      <c r="T25" s="26">
        <f>(T17/V17)/(F12*1000)*100</f>
        <v>26.428571455</v>
      </c>
      <c r="U25" s="27" t="s">
        <v>16</v>
      </c>
    </row>
    <row r="26" spans="3:23" x14ac:dyDescent="0.4">
      <c r="F26" s="1">
        <v>1.8918918899999999</v>
      </c>
      <c r="G26" s="12">
        <v>0.66824879000000004</v>
      </c>
      <c r="K26" s="1">
        <v>1.02</v>
      </c>
      <c r="L26" s="1">
        <f t="shared" si="6"/>
        <v>0.32162162129999999</v>
      </c>
      <c r="M26" s="12">
        <f t="shared" si="6"/>
        <v>0.11360229430000002</v>
      </c>
      <c r="N26" s="1">
        <f t="shared" si="7"/>
        <v>1.8918918899999999</v>
      </c>
      <c r="O26" s="1">
        <f t="shared" si="7"/>
        <v>0.66824879000000004</v>
      </c>
    </row>
    <row r="27" spans="3:23" x14ac:dyDescent="0.4">
      <c r="F27" s="1">
        <v>1.8918918899999999</v>
      </c>
      <c r="G27" s="12">
        <v>0.66824879000000004</v>
      </c>
      <c r="K27" s="1">
        <v>1.02</v>
      </c>
      <c r="L27" s="1">
        <f t="shared" si="6"/>
        <v>0.32162162129999999</v>
      </c>
      <c r="M27" s="12">
        <f t="shared" si="6"/>
        <v>0.11360229430000002</v>
      </c>
      <c r="N27" s="1">
        <f t="shared" si="7"/>
        <v>1.8918918899999999</v>
      </c>
      <c r="O27" s="1">
        <f t="shared" si="7"/>
        <v>0.66824879000000004</v>
      </c>
    </row>
    <row r="28" spans="3:23" x14ac:dyDescent="0.4">
      <c r="F28" s="1">
        <v>1.8918918899999999</v>
      </c>
      <c r="G28" s="12">
        <v>0.66824879000000004</v>
      </c>
      <c r="K28" s="1">
        <v>1.02</v>
      </c>
      <c r="L28" s="1">
        <f t="shared" si="6"/>
        <v>0.32162162129999999</v>
      </c>
      <c r="M28" s="12">
        <f t="shared" si="6"/>
        <v>0.11360229430000002</v>
      </c>
      <c r="N28" s="1">
        <f t="shared" si="7"/>
        <v>1.8918918899999999</v>
      </c>
      <c r="O28" s="1">
        <f t="shared" si="7"/>
        <v>0.66824879000000004</v>
      </c>
    </row>
    <row r="29" spans="3:23" x14ac:dyDescent="0.4">
      <c r="F29" s="1">
        <v>1.8918918899999999</v>
      </c>
      <c r="G29" s="12">
        <v>0.66824879000000004</v>
      </c>
      <c r="K29" s="1">
        <v>1.02</v>
      </c>
      <c r="L29" s="1">
        <f t="shared" si="6"/>
        <v>0.32162162129999999</v>
      </c>
      <c r="M29" s="12">
        <f t="shared" si="6"/>
        <v>0.11360229430000002</v>
      </c>
      <c r="N29" s="1">
        <f t="shared" si="7"/>
        <v>1.8918918899999999</v>
      </c>
      <c r="O29" s="1">
        <f t="shared" si="7"/>
        <v>0.66824879000000004</v>
      </c>
    </row>
    <row r="30" spans="3:23" x14ac:dyDescent="0.4">
      <c r="F30" s="1">
        <v>1.8918918899999999</v>
      </c>
      <c r="G30" s="12">
        <v>0.66824879000000004</v>
      </c>
      <c r="K30" s="1">
        <v>1.02</v>
      </c>
      <c r="L30" s="1">
        <f t="shared" si="6"/>
        <v>0.32162162129999999</v>
      </c>
      <c r="M30" s="12">
        <f t="shared" si="6"/>
        <v>0.11360229430000002</v>
      </c>
      <c r="N30" s="1">
        <f t="shared" si="7"/>
        <v>1.8918918899999999</v>
      </c>
      <c r="O30" s="1">
        <f t="shared" si="7"/>
        <v>0.66824879000000004</v>
      </c>
    </row>
    <row r="31" spans="3:23" x14ac:dyDescent="0.4">
      <c r="F31" s="1">
        <v>1.8918918899999999</v>
      </c>
      <c r="G31" s="12">
        <v>0.66824879000000004</v>
      </c>
      <c r="K31" s="1">
        <v>1.02</v>
      </c>
      <c r="L31" s="1">
        <f t="shared" si="6"/>
        <v>0.32162162129999999</v>
      </c>
      <c r="M31" s="12">
        <f t="shared" si="6"/>
        <v>0.11360229430000002</v>
      </c>
      <c r="N31" s="1">
        <f t="shared" si="7"/>
        <v>1.8918918899999999</v>
      </c>
      <c r="O31" s="1">
        <f t="shared" si="7"/>
        <v>0.66824879000000004</v>
      </c>
    </row>
    <row r="32" spans="3:23" x14ac:dyDescent="0.4">
      <c r="F32" s="1">
        <v>1.8918918899999999</v>
      </c>
      <c r="G32" s="12">
        <v>0.66824879000000004</v>
      </c>
      <c r="K32" s="1">
        <v>1.02</v>
      </c>
      <c r="L32" s="1">
        <f t="shared" si="6"/>
        <v>0.32162162129999999</v>
      </c>
      <c r="M32" s="12">
        <f t="shared" si="6"/>
        <v>0.11360229430000002</v>
      </c>
      <c r="N32" s="1">
        <f t="shared" si="7"/>
        <v>1.8918918899999999</v>
      </c>
      <c r="O32" s="1">
        <f t="shared" si="7"/>
        <v>0.66824879000000004</v>
      </c>
    </row>
    <row r="33" spans="6:15" x14ac:dyDescent="0.4">
      <c r="F33" s="1">
        <v>1.8918918899999999</v>
      </c>
      <c r="G33" s="12">
        <v>0.66824879000000004</v>
      </c>
      <c r="K33" s="1">
        <v>1.02</v>
      </c>
      <c r="L33" s="1">
        <f t="shared" si="6"/>
        <v>0.32162162129999999</v>
      </c>
      <c r="M33" s="12">
        <f t="shared" si="6"/>
        <v>0.11360229430000002</v>
      </c>
      <c r="N33" s="1">
        <f t="shared" si="7"/>
        <v>1.8918918899999999</v>
      </c>
      <c r="O33" s="1">
        <f t="shared" si="7"/>
        <v>0.66824879000000004</v>
      </c>
    </row>
    <row r="34" spans="6:15" x14ac:dyDescent="0.4">
      <c r="F34" s="1">
        <v>1.8918918899999999</v>
      </c>
      <c r="G34" s="12">
        <v>0.66824879000000004</v>
      </c>
      <c r="K34" s="1">
        <v>1.02</v>
      </c>
      <c r="L34" s="1">
        <f t="shared" si="6"/>
        <v>0.32162162129999999</v>
      </c>
      <c r="M34" s="12">
        <f t="shared" si="6"/>
        <v>0.11360229430000002</v>
      </c>
      <c r="N34" s="1">
        <f t="shared" si="7"/>
        <v>1.8918918899999999</v>
      </c>
      <c r="O34" s="1">
        <f t="shared" si="7"/>
        <v>0.66824879000000004</v>
      </c>
    </row>
    <row r="35" spans="6:15" x14ac:dyDescent="0.4">
      <c r="F35" s="1">
        <v>1.8918918899999999</v>
      </c>
      <c r="G35" s="12">
        <v>0.66824879000000004</v>
      </c>
      <c r="K35" s="1">
        <v>1.02</v>
      </c>
      <c r="L35" s="1">
        <f t="shared" si="6"/>
        <v>0.32162162129999999</v>
      </c>
      <c r="M35" s="12">
        <f t="shared" si="6"/>
        <v>0.11360229430000002</v>
      </c>
      <c r="N35" s="1">
        <f t="shared" si="7"/>
        <v>1.8918918899999999</v>
      </c>
      <c r="O35" s="1">
        <f t="shared" si="7"/>
        <v>0.66824879000000004</v>
      </c>
    </row>
    <row r="36" spans="6:15" x14ac:dyDescent="0.4">
      <c r="F36" s="1">
        <v>1.8918918899999999</v>
      </c>
      <c r="G36" s="12">
        <v>0.66824879000000004</v>
      </c>
      <c r="K36" s="1">
        <v>1.02</v>
      </c>
      <c r="L36" s="1">
        <f t="shared" si="6"/>
        <v>0.32162162129999999</v>
      </c>
      <c r="M36" s="12">
        <f t="shared" si="6"/>
        <v>0.11360229430000002</v>
      </c>
      <c r="N36" s="1">
        <f t="shared" si="7"/>
        <v>1.8918918899999999</v>
      </c>
      <c r="O36" s="1">
        <f t="shared" si="7"/>
        <v>0.66824879000000004</v>
      </c>
    </row>
    <row r="37" spans="6:15" x14ac:dyDescent="0.4">
      <c r="F37" s="1">
        <v>1.8918918899999999</v>
      </c>
      <c r="G37" s="12">
        <v>0.66824879000000004</v>
      </c>
      <c r="K37" s="1">
        <v>1.02</v>
      </c>
      <c r="L37" s="1">
        <f t="shared" si="6"/>
        <v>0.32162162129999999</v>
      </c>
      <c r="M37" s="12">
        <f t="shared" si="6"/>
        <v>0.11360229430000002</v>
      </c>
      <c r="N37" s="1">
        <f t="shared" si="7"/>
        <v>1.8918918899999999</v>
      </c>
      <c r="O37" s="1">
        <f t="shared" si="7"/>
        <v>0.66824879000000004</v>
      </c>
    </row>
    <row r="38" spans="6:15" x14ac:dyDescent="0.4">
      <c r="F38" s="1">
        <v>1.8918918899999999</v>
      </c>
      <c r="G38" s="12">
        <v>0.66824879000000004</v>
      </c>
      <c r="K38" s="1">
        <v>1.02</v>
      </c>
      <c r="L38" s="1">
        <f t="shared" si="6"/>
        <v>0.32162162129999999</v>
      </c>
      <c r="M38" s="12">
        <f t="shared" si="6"/>
        <v>0.11360229430000002</v>
      </c>
      <c r="N38" s="1">
        <f t="shared" si="7"/>
        <v>1.8918918899999999</v>
      </c>
      <c r="O38" s="1">
        <f t="shared" si="7"/>
        <v>0.66824879000000004</v>
      </c>
    </row>
    <row r="39" spans="6:15" x14ac:dyDescent="0.4">
      <c r="F39" s="1">
        <v>1.8918918899999999</v>
      </c>
      <c r="G39" s="12">
        <v>0.66824879000000004</v>
      </c>
      <c r="K39" s="1">
        <v>1.02</v>
      </c>
      <c r="L39" s="1">
        <f t="shared" si="6"/>
        <v>0.32162162129999999</v>
      </c>
      <c r="M39" s="12">
        <f t="shared" si="6"/>
        <v>0.11360229430000002</v>
      </c>
      <c r="N39" s="1">
        <f t="shared" si="7"/>
        <v>1.8918918899999999</v>
      </c>
      <c r="O39" s="1">
        <f t="shared" si="7"/>
        <v>0.66824879000000004</v>
      </c>
    </row>
    <row r="40" spans="6:15" x14ac:dyDescent="0.4">
      <c r="F40" s="1">
        <v>1.8918918899999999</v>
      </c>
      <c r="G40" s="12">
        <v>0.66824879000000004</v>
      </c>
      <c r="K40" s="1">
        <v>1.02</v>
      </c>
      <c r="L40" s="1">
        <f t="shared" si="6"/>
        <v>0.32162162129999999</v>
      </c>
      <c r="M40" s="12">
        <f t="shared" si="6"/>
        <v>0.11360229430000002</v>
      </c>
      <c r="N40" s="1">
        <f t="shared" si="7"/>
        <v>1.8918918899999999</v>
      </c>
      <c r="O40" s="1">
        <f t="shared" si="7"/>
        <v>0.66824879000000004</v>
      </c>
    </row>
    <row r="41" spans="6:15" x14ac:dyDescent="0.4">
      <c r="F41" s="1">
        <v>1.8918918899999999</v>
      </c>
      <c r="G41" s="12">
        <v>0.66824879000000004</v>
      </c>
      <c r="K41" s="1">
        <v>1.02</v>
      </c>
      <c r="L41" s="1">
        <f t="shared" si="6"/>
        <v>0.32162162129999999</v>
      </c>
      <c r="M41" s="12">
        <f t="shared" si="6"/>
        <v>0.11360229430000002</v>
      </c>
      <c r="N41" s="1">
        <f t="shared" si="7"/>
        <v>1.8918918899999999</v>
      </c>
      <c r="O41" s="1">
        <f t="shared" si="7"/>
        <v>0.66824879000000004</v>
      </c>
    </row>
    <row r="42" spans="6:15" x14ac:dyDescent="0.4">
      <c r="F42" s="1">
        <v>1.8918918899999999</v>
      </c>
      <c r="G42" s="12">
        <v>0.66824879000000004</v>
      </c>
      <c r="K42" s="1">
        <v>1.02</v>
      </c>
      <c r="L42" s="1">
        <f t="shared" si="6"/>
        <v>0.32162162129999999</v>
      </c>
      <c r="M42" s="12">
        <f t="shared" si="6"/>
        <v>0.11360229430000002</v>
      </c>
      <c r="N42" s="1">
        <f t="shared" si="7"/>
        <v>1.8918918899999999</v>
      </c>
      <c r="O42" s="1">
        <f t="shared" si="7"/>
        <v>0.66824879000000004</v>
      </c>
    </row>
    <row r="43" spans="6:15" x14ac:dyDescent="0.4">
      <c r="F43" s="1">
        <v>1.8918918899999999</v>
      </c>
      <c r="G43" s="12">
        <v>0.66824879000000004</v>
      </c>
      <c r="K43" s="1">
        <v>1.02</v>
      </c>
      <c r="L43" s="1">
        <f t="shared" si="6"/>
        <v>0.32162162129999999</v>
      </c>
      <c r="M43" s="12">
        <f t="shared" si="6"/>
        <v>0.11360229430000002</v>
      </c>
      <c r="N43" s="1">
        <f t="shared" si="7"/>
        <v>1.8918918899999999</v>
      </c>
      <c r="O43" s="1">
        <f t="shared" si="7"/>
        <v>0.66824879000000004</v>
      </c>
    </row>
    <row r="44" spans="6:15" x14ac:dyDescent="0.4">
      <c r="F44" s="1">
        <v>1.8918918899999999</v>
      </c>
      <c r="G44" s="12">
        <v>0.66824879000000004</v>
      </c>
      <c r="K44" s="1">
        <v>1.02</v>
      </c>
      <c r="L44" s="1">
        <f t="shared" si="6"/>
        <v>0.32162162129999999</v>
      </c>
      <c r="M44" s="12">
        <f t="shared" si="6"/>
        <v>0.11360229430000002</v>
      </c>
      <c r="N44" s="1">
        <f t="shared" si="7"/>
        <v>1.8918918899999999</v>
      </c>
      <c r="O44" s="1">
        <f t="shared" si="7"/>
        <v>0.66824879000000004</v>
      </c>
    </row>
    <row r="45" spans="6:15" x14ac:dyDescent="0.4">
      <c r="F45" s="1">
        <v>1.8918918899999999</v>
      </c>
      <c r="G45" s="12">
        <v>0.66824879000000004</v>
      </c>
      <c r="K45" s="1">
        <v>1.02</v>
      </c>
      <c r="L45" s="1">
        <f t="shared" si="6"/>
        <v>0.32162162129999999</v>
      </c>
      <c r="M45" s="12">
        <f t="shared" si="6"/>
        <v>0.11360229430000002</v>
      </c>
      <c r="N45" s="1">
        <f t="shared" si="7"/>
        <v>1.8918918899999999</v>
      </c>
      <c r="O45" s="1">
        <f t="shared" si="7"/>
        <v>0.66824879000000004</v>
      </c>
    </row>
    <row r="46" spans="6:15" x14ac:dyDescent="0.4">
      <c r="F46" s="1">
        <v>1.8918918899999999</v>
      </c>
      <c r="G46" s="12">
        <v>0.66824879000000004</v>
      </c>
      <c r="K46" s="1">
        <v>1.02</v>
      </c>
      <c r="L46" s="1">
        <f t="shared" si="6"/>
        <v>0.32162162129999999</v>
      </c>
      <c r="M46" s="12">
        <f t="shared" si="6"/>
        <v>0.11360229430000002</v>
      </c>
      <c r="N46" s="1">
        <f t="shared" si="7"/>
        <v>1.8918918899999999</v>
      </c>
      <c r="O46" s="1">
        <f t="shared" si="7"/>
        <v>0.66824879000000004</v>
      </c>
    </row>
    <row r="47" spans="6:15" x14ac:dyDescent="0.4">
      <c r="F47" s="1">
        <v>1.8918918899999999</v>
      </c>
      <c r="G47" s="12">
        <v>0.66824879000000004</v>
      </c>
      <c r="K47" s="1">
        <v>1.02</v>
      </c>
      <c r="L47" s="1">
        <f t="shared" si="6"/>
        <v>0.32162162129999999</v>
      </c>
      <c r="M47" s="12">
        <f t="shared" si="6"/>
        <v>0.11360229430000002</v>
      </c>
      <c r="N47" s="1">
        <f t="shared" si="7"/>
        <v>1.8918918899999999</v>
      </c>
      <c r="O47" s="1">
        <f t="shared" si="7"/>
        <v>0.66824879000000004</v>
      </c>
    </row>
    <row r="48" spans="6:15" x14ac:dyDescent="0.4">
      <c r="F48" s="1">
        <v>1.8918918899999999</v>
      </c>
      <c r="G48" s="12">
        <v>0.66824879000000004</v>
      </c>
      <c r="K48" s="1">
        <v>1.02</v>
      </c>
      <c r="L48" s="1">
        <f>F48*$V$3</f>
        <v>0.32162162129999999</v>
      </c>
      <c r="M48" s="12">
        <f t="shared" si="6"/>
        <v>0.11360229430000002</v>
      </c>
      <c r="N48" s="1">
        <f t="shared" si="7"/>
        <v>1.8918918899999999</v>
      </c>
      <c r="O48" s="1">
        <f t="shared" si="7"/>
        <v>0.66824879000000004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デフォルト</vt:lpstr>
      <vt:lpstr>台数で再エネ分を引く場合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西田 啓人</dc:creator>
  <cp:lastModifiedBy>Nishida Keito</cp:lastModifiedBy>
  <dcterms:created xsi:type="dcterms:W3CDTF">2024-07-25T07:43:31Z</dcterms:created>
  <dcterms:modified xsi:type="dcterms:W3CDTF">2024-12-23T06:36:54Z</dcterms:modified>
</cp:coreProperties>
</file>