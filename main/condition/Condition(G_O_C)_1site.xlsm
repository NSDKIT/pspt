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owerSystemLab\Documents\FromDesktop\01_研究資料\05_実行ファイル\CPAT\02_MyModel\CPATFreeR05V1.0\CPATFree_R05_Ver1.0\model\EAST10\List\Condition\"/>
    </mc:Choice>
  </mc:AlternateContent>
  <xr:revisionPtr revIDLastSave="0" documentId="13_ncr:1_{82EA708C-5A21-4394-9887-8AD20885B186}" xr6:coauthVersionLast="47" xr6:coauthVersionMax="47" xr10:uidLastSave="{00000000-0000-0000-0000-000000000000}"/>
  <bookViews>
    <workbookView xWindow="-120" yWindow="-120" windowWidth="38640" windowHeight="15720" xr2:uid="{00000000-000D-0000-FFFF-FFFF00000000}"/>
  </bookViews>
  <sheets>
    <sheet name="Sheet1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C3" i="1" l="1"/>
  <c r="CB3" i="1"/>
  <c r="CA3" i="1"/>
  <c r="BZ3" i="1"/>
  <c r="BY3" i="1"/>
  <c r="BX3" i="1"/>
  <c r="BW3" i="1"/>
  <c r="BV3" i="1"/>
  <c r="BU3" i="1"/>
  <c r="BT3" i="1"/>
  <c r="BS3" i="1"/>
  <c r="BR3" i="1"/>
  <c r="BQ3" i="1"/>
  <c r="BP3" i="1"/>
  <c r="BO3" i="1"/>
  <c r="BN3" i="1"/>
  <c r="BM3" i="1"/>
  <c r="BL3" i="1"/>
  <c r="BK3" i="1"/>
  <c r="BJ3" i="1"/>
  <c r="BI3" i="1"/>
  <c r="BH3" i="1"/>
  <c r="BG3" i="1"/>
  <c r="BF3" i="1"/>
  <c r="BE3" i="1"/>
  <c r="BD3" i="1"/>
  <c r="BC3" i="1"/>
  <c r="BB3" i="1"/>
  <c r="BA3" i="1"/>
  <c r="AZ3" i="1"/>
  <c r="AY3" i="1"/>
  <c r="AX3" i="1"/>
  <c r="AW3" i="1"/>
  <c r="AV3" i="1"/>
  <c r="AU3" i="1"/>
  <c r="AT3" i="1"/>
  <c r="AS3" i="1"/>
  <c r="AR3" i="1"/>
  <c r="AQ3" i="1"/>
  <c r="AP3" i="1"/>
  <c r="AO3" i="1"/>
  <c r="AN3" i="1"/>
  <c r="AM3" i="1"/>
  <c r="AL3" i="1"/>
  <c r="AK3" i="1"/>
  <c r="AJ3" i="1"/>
  <c r="AI3" i="1"/>
  <c r="AH3" i="1"/>
  <c r="AG3" i="1"/>
  <c r="AF3" i="1"/>
  <c r="AE3" i="1"/>
  <c r="AD3" i="1"/>
  <c r="AC3" i="1"/>
  <c r="AB3" i="1"/>
  <c r="AA3" i="1"/>
  <c r="Z3" i="1"/>
  <c r="Y3" i="1"/>
  <c r="X3" i="1"/>
  <c r="W3" i="1"/>
  <c r="V3" i="1"/>
  <c r="U3" i="1"/>
  <c r="K2" i="1"/>
  <c r="J2" i="1"/>
  <c r="A11" i="1" s="1"/>
  <c r="AR4" i="1" l="1"/>
  <c r="AC4" i="1"/>
  <c r="AS4" i="1"/>
  <c r="BI4" i="1"/>
  <c r="BY4" i="1"/>
  <c r="AD4" i="1"/>
  <c r="AT4" i="1"/>
  <c r="BJ4" i="1"/>
  <c r="BZ4" i="1"/>
  <c r="AE4" i="1"/>
  <c r="BK4" i="1"/>
  <c r="AG4" i="1"/>
  <c r="AW4" i="1"/>
  <c r="BM4" i="1"/>
  <c r="CC4" i="1"/>
  <c r="BH4" i="1"/>
  <c r="AU4" i="1"/>
  <c r="CA4" i="1"/>
  <c r="AJ4" i="1"/>
  <c r="AZ4" i="1"/>
  <c r="BP4" i="1"/>
  <c r="V4" i="1"/>
  <c r="AL4" i="1"/>
  <c r="BB4" i="1"/>
  <c r="BR4" i="1"/>
  <c r="AB4" i="1"/>
  <c r="BX4" i="1"/>
  <c r="CB4" i="1"/>
  <c r="AM4" i="1"/>
  <c r="BC4" i="1"/>
  <c r="BS4" i="1"/>
  <c r="Z4" i="1"/>
  <c r="AP4" i="1"/>
  <c r="BF4" i="1"/>
  <c r="BV4" i="1"/>
  <c r="AX4" i="1"/>
  <c r="A5" i="1"/>
  <c r="A4" i="1"/>
  <c r="AI4" i="1"/>
  <c r="AY4" i="1"/>
  <c r="BO4" i="1"/>
  <c r="A3" i="1"/>
  <c r="AH4" i="1"/>
  <c r="BN4" i="1"/>
  <c r="U4" i="1"/>
  <c r="BQ4" i="1"/>
  <c r="AK4" i="1"/>
  <c r="BA4" i="1"/>
  <c r="W4" i="1"/>
  <c r="Y4" i="1"/>
  <c r="AO4" i="1"/>
  <c r="BE4" i="1"/>
  <c r="BU4" i="1"/>
  <c r="A8" i="1"/>
  <c r="BD4" i="1"/>
  <c r="A7" i="1"/>
  <c r="BW4" i="1"/>
  <c r="A9" i="1"/>
  <c r="AN4" i="1"/>
  <c r="BT4" i="1"/>
  <c r="AA4" i="1"/>
  <c r="BG4" i="1"/>
  <c r="A6" i="1"/>
  <c r="X4" i="1"/>
  <c r="AQ4" i="1"/>
  <c r="A10" i="1"/>
  <c r="A2" i="1"/>
  <c r="AF4" i="1"/>
  <c r="AV4" i="1"/>
  <c r="BL4" i="1"/>
  <c r="AN5" i="1" l="1"/>
  <c r="AN6" i="1" s="1"/>
  <c r="AH5" i="1"/>
  <c r="AH6" i="1" s="1"/>
  <c r="AG5" i="1"/>
  <c r="AG6" i="1" s="1"/>
  <c r="AF5" i="1"/>
  <c r="AF6" i="1" s="1"/>
  <c r="AE5" i="1"/>
  <c r="AE6" i="1" s="1"/>
  <c r="AD5" i="1"/>
  <c r="AD6" i="1" s="1"/>
  <c r="C11" i="1" s="1"/>
  <c r="AB5" i="1"/>
  <c r="AB6" i="1" s="1"/>
  <c r="C9" i="1" s="1"/>
  <c r="AC5" i="1"/>
  <c r="AC6" i="1" s="1"/>
  <c r="C10" i="1" s="1"/>
  <c r="AA5" i="1"/>
  <c r="AA6" i="1" s="1"/>
  <c r="C8" i="1" s="1"/>
  <c r="Z5" i="1"/>
  <c r="Z6" i="1" s="1"/>
  <c r="C7" i="1" s="1"/>
  <c r="Y5" i="1"/>
  <c r="Y6" i="1" s="1"/>
  <c r="C6" i="1" s="1"/>
  <c r="X5" i="1"/>
  <c r="X6" i="1" s="1"/>
  <c r="C5" i="1" s="1"/>
  <c r="V5" i="1"/>
  <c r="V6" i="1" s="1"/>
  <c r="C3" i="1" s="1"/>
  <c r="AI5" i="1"/>
  <c r="AI6" i="1" s="1"/>
  <c r="AM5" i="1"/>
  <c r="AM6" i="1" s="1"/>
  <c r="W5" i="1"/>
  <c r="W6" i="1" s="1"/>
  <c r="C4" i="1" s="1"/>
  <c r="AL5" i="1"/>
  <c r="AL6" i="1" s="1"/>
  <c r="AK5" i="1"/>
  <c r="AK6" i="1" s="1"/>
  <c r="U5" i="1"/>
  <c r="U6" i="1" s="1"/>
  <c r="C2" i="1" s="1"/>
  <c r="AJ5" i="1"/>
  <c r="AJ6" i="1" s="1"/>
</calcChain>
</file>

<file path=xl/sharedStrings.xml><?xml version="1.0" encoding="utf-8"?>
<sst xmlns="http://schemas.openxmlformats.org/spreadsheetml/2006/main" count="20" uniqueCount="11">
  <si>
    <t>Time</t>
  </si>
  <si>
    <t>Ktyp</t>
  </si>
  <si>
    <t>Ichi</t>
  </si>
  <si>
    <t>Data1</t>
  </si>
  <si>
    <t>Data2</t>
  </si>
  <si>
    <t>Data3</t>
  </si>
  <si>
    <t>Data4</t>
  </si>
  <si>
    <t>Δt</t>
  </si>
  <si>
    <t>自動化のための更新係数（※いじらない）</t>
  </si>
  <si>
    <t>G,O,C</t>
  </si>
  <si>
    <t>Branch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</si>
</sst>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9">
    <xf numFmtId="0" fontId="0" fillId="0" borderId="0" xfId="0" applyAlignment="1">
      <alignment vertical="center"/>
    </xf>
    <xf numFmtId="0" fontId="0" fillId="2" borderId="0" xfId="0" applyFill="1" applyAlignment="1">
      <alignment vertical="center"/>
    </xf>
    <xf numFmtId="0" fontId="0" fillId="3" borderId="0" xfId="0" applyFill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/>
    <xf numFmtId="0" fontId="0" fillId="0" borderId="0" xfId="0" applyAlignment="1">
      <alignment vertical="center"/>
    </xf>
    <xf numFmtId="0" fontId="0" fillId="0" borderId="0" xfId="0" applyFill="1" applyAlignment="1">
      <alignment vertical="center"/>
    </xf>
    <xf numFmtId="0" fontId="0" fillId="2" borderId="0" xfId="0" applyFill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C11"/>
  <sheetViews>
    <sheetView tabSelected="1" zoomScale="85" zoomScaleNormal="85" workbookViewId="0">
      <selection activeCell="O6" sqref="O6"/>
    </sheetView>
  </sheetViews>
  <sheetFormatPr defaultRowHeight="18.75" x14ac:dyDescent="0.4"/>
  <cols>
    <col min="1" max="1" width="16.625" style="4" bestFit="1" customWidth="1"/>
    <col min="4" max="4" width="11.125" style="4" bestFit="1" customWidth="1"/>
    <col min="8" max="8" width="12.75" style="4" bestFit="1" customWidth="1"/>
    <col min="14" max="14" width="9.375" style="4" bestFit="1" customWidth="1"/>
    <col min="20" max="20" width="3.125" style="4" customWidth="1"/>
    <col min="21" max="40" width="6.375" style="4" customWidth="1"/>
    <col min="41" max="45" width="6.375" style="5" customWidth="1"/>
    <col min="46" max="69" width="6.375" style="4" customWidth="1"/>
  </cols>
  <sheetData>
    <row r="1" spans="1:81" x14ac:dyDescent="0.4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J1" s="1" t="s">
        <v>7</v>
      </c>
      <c r="K1" s="7">
        <v>0.15</v>
      </c>
      <c r="L1" s="8"/>
      <c r="O1" s="5" t="s">
        <v>8</v>
      </c>
    </row>
    <row r="2" spans="1:81" x14ac:dyDescent="0.4">
      <c r="A2" s="1" t="str">
        <f t="shared" ref="A2:A11" si="0">$J$2 &amp; "," &amp; $K$2 &amp; "," &amp; $L$2</f>
        <v>1.0,1.15,1.3</v>
      </c>
      <c r="B2" s="5" t="s">
        <v>9</v>
      </c>
      <c r="C2" s="3" t="str">
        <f ca="1">U6 &amp; "," &amp; U6 &amp; "," &amp; U6</f>
        <v>28,28,28</v>
      </c>
      <c r="J2" s="5" t="str">
        <f>TEXT(1, "0.0")</f>
        <v>1.0</v>
      </c>
      <c r="K2" s="5">
        <f>1 + $K$1</f>
        <v>1.1499999999999999</v>
      </c>
      <c r="L2" s="5">
        <v>1.3</v>
      </c>
      <c r="O2" s="5">
        <v>0</v>
      </c>
      <c r="T2" s="2" t="s">
        <v>10</v>
      </c>
      <c r="U2" s="2">
        <v>1</v>
      </c>
      <c r="V2" s="2">
        <v>2</v>
      </c>
      <c r="W2" s="2">
        <v>3</v>
      </c>
      <c r="X2" s="2">
        <v>4</v>
      </c>
      <c r="Y2" s="2">
        <v>5</v>
      </c>
      <c r="Z2" s="2">
        <v>6</v>
      </c>
      <c r="AA2" s="2">
        <v>7</v>
      </c>
      <c r="AB2" s="2">
        <v>8</v>
      </c>
      <c r="AC2" s="2">
        <v>9</v>
      </c>
      <c r="AD2" s="2">
        <v>10</v>
      </c>
      <c r="AE2" s="2">
        <v>11</v>
      </c>
      <c r="AF2" s="2">
        <v>12</v>
      </c>
      <c r="AG2" s="2">
        <v>13</v>
      </c>
      <c r="AH2" s="2">
        <v>14</v>
      </c>
      <c r="AI2" s="2">
        <v>15</v>
      </c>
      <c r="AJ2" s="2">
        <v>16</v>
      </c>
      <c r="AK2" s="2">
        <v>17</v>
      </c>
      <c r="AL2" s="2">
        <v>18</v>
      </c>
      <c r="AM2" s="2">
        <v>19</v>
      </c>
      <c r="AN2" s="2">
        <v>20</v>
      </c>
      <c r="AO2" s="2">
        <v>21</v>
      </c>
      <c r="AP2" s="2">
        <v>22</v>
      </c>
      <c r="AQ2" s="2">
        <v>23</v>
      </c>
      <c r="AR2" s="2">
        <v>24</v>
      </c>
      <c r="AS2" s="2">
        <v>25</v>
      </c>
      <c r="AT2" s="2">
        <v>26</v>
      </c>
      <c r="AU2" s="2">
        <v>27</v>
      </c>
      <c r="AV2" s="2">
        <v>28</v>
      </c>
      <c r="AW2" s="2">
        <v>29</v>
      </c>
      <c r="AX2" s="2">
        <v>30</v>
      </c>
      <c r="AY2" s="2">
        <v>31</v>
      </c>
      <c r="AZ2" s="2">
        <v>32</v>
      </c>
      <c r="BA2" s="2">
        <v>33</v>
      </c>
      <c r="BB2" s="2">
        <v>34</v>
      </c>
      <c r="BC2" s="2">
        <v>35</v>
      </c>
      <c r="BD2" s="2">
        <v>36</v>
      </c>
      <c r="BE2" s="2">
        <v>37</v>
      </c>
      <c r="BF2" s="2">
        <v>38</v>
      </c>
      <c r="BG2" s="2">
        <v>39</v>
      </c>
      <c r="BH2" s="2">
        <v>40</v>
      </c>
      <c r="BI2" s="2">
        <v>41</v>
      </c>
      <c r="BJ2" s="2">
        <v>42</v>
      </c>
      <c r="BK2" s="2">
        <v>43</v>
      </c>
      <c r="BL2" s="2">
        <v>44</v>
      </c>
      <c r="BM2" s="2">
        <v>45</v>
      </c>
      <c r="BN2" s="2">
        <v>46</v>
      </c>
      <c r="BO2" s="2">
        <v>47</v>
      </c>
      <c r="BP2" s="2">
        <v>48</v>
      </c>
      <c r="BQ2" s="2">
        <v>49</v>
      </c>
      <c r="BR2" s="2">
        <v>50</v>
      </c>
      <c r="BS2" s="2">
        <v>51</v>
      </c>
      <c r="BT2" s="2">
        <v>52</v>
      </c>
      <c r="BU2" s="2">
        <v>53</v>
      </c>
      <c r="BV2" s="2">
        <v>117</v>
      </c>
      <c r="BW2" s="2">
        <v>118</v>
      </c>
      <c r="BX2" s="2">
        <v>120</v>
      </c>
      <c r="BY2" s="2">
        <v>123</v>
      </c>
      <c r="BZ2" s="2">
        <v>124</v>
      </c>
      <c r="CA2" s="2">
        <v>126</v>
      </c>
      <c r="CB2" s="2">
        <v>135</v>
      </c>
      <c r="CC2" s="2">
        <v>153</v>
      </c>
    </row>
    <row r="3" spans="1:81" x14ac:dyDescent="0.4">
      <c r="A3" s="1" t="str">
        <f t="shared" si="0"/>
        <v>1.0,1.15,1.3</v>
      </c>
      <c r="B3" s="5" t="s">
        <v>9</v>
      </c>
      <c r="C3" s="3" t="str">
        <f ca="1">V6 &amp; "," &amp; V6 &amp; "," &amp; V6</f>
        <v>17,17,17</v>
      </c>
      <c r="U3" s="5">
        <f t="shared" ref="U3:AZ3" ca="1" si="1">RAND()</f>
        <v>0.63505955177054874</v>
      </c>
      <c r="V3" s="5">
        <f t="shared" ca="1" si="1"/>
        <v>0.42753636689529606</v>
      </c>
      <c r="W3" s="5">
        <f t="shared" ca="1" si="1"/>
        <v>0.42733362102409123</v>
      </c>
      <c r="X3" s="5">
        <f t="shared" ca="1" si="1"/>
        <v>0.59481254486095203</v>
      </c>
      <c r="Y3" s="5">
        <f t="shared" ca="1" si="1"/>
        <v>0.18534568748803093</v>
      </c>
      <c r="Z3" s="5">
        <f t="shared" ca="1" si="1"/>
        <v>0.36872793661362935</v>
      </c>
      <c r="AA3" s="5">
        <f t="shared" ca="1" si="1"/>
        <v>0.1859874453913245</v>
      </c>
      <c r="AB3" s="5">
        <f t="shared" ca="1" si="1"/>
        <v>0.2565827026715003</v>
      </c>
      <c r="AC3" s="5">
        <f t="shared" ca="1" si="1"/>
        <v>0.33105837954512873</v>
      </c>
      <c r="AD3" s="5">
        <f t="shared" ca="1" si="1"/>
        <v>0.87758057882897245</v>
      </c>
      <c r="AE3" s="5">
        <f t="shared" ca="1" si="1"/>
        <v>0.51362938030057126</v>
      </c>
      <c r="AF3" s="5">
        <f t="shared" ca="1" si="1"/>
        <v>0.5959433513246426</v>
      </c>
      <c r="AG3" s="5">
        <f t="shared" ca="1" si="1"/>
        <v>0.55570170200153757</v>
      </c>
      <c r="AH3" s="5">
        <f t="shared" ca="1" si="1"/>
        <v>0.64686914736818413</v>
      </c>
      <c r="AI3" s="5">
        <f t="shared" ca="1" si="1"/>
        <v>0.51396284547540338</v>
      </c>
      <c r="AJ3" s="5">
        <f t="shared" ca="1" si="1"/>
        <v>0.46184108969781712</v>
      </c>
      <c r="AK3" s="5">
        <f t="shared" ca="1" si="1"/>
        <v>0.98021841490749761</v>
      </c>
      <c r="AL3" s="5">
        <f t="shared" ca="1" si="1"/>
        <v>0.32899944452625962</v>
      </c>
      <c r="AM3" s="5">
        <f t="shared" ca="1" si="1"/>
        <v>1.880991217215755E-2</v>
      </c>
      <c r="AN3" s="5">
        <f t="shared" ca="1" si="1"/>
        <v>0.73623312677746189</v>
      </c>
      <c r="AO3" s="5">
        <f t="shared" ca="1" si="1"/>
        <v>0.18885772928009537</v>
      </c>
      <c r="AP3" s="5">
        <f t="shared" ca="1" si="1"/>
        <v>0.52795733905070141</v>
      </c>
      <c r="AQ3" s="5">
        <f t="shared" ca="1" si="1"/>
        <v>0.47399927943744247</v>
      </c>
      <c r="AR3" s="5">
        <f t="shared" ca="1" si="1"/>
        <v>0.65822721830823794</v>
      </c>
      <c r="AS3" s="5">
        <f t="shared" ca="1" si="1"/>
        <v>0.70039302350340593</v>
      </c>
      <c r="AT3" s="5">
        <f t="shared" ca="1" si="1"/>
        <v>0.61896318098893255</v>
      </c>
      <c r="AU3" s="5">
        <f t="shared" ca="1" si="1"/>
        <v>0.12771417177417321</v>
      </c>
      <c r="AV3" s="5">
        <f t="shared" ca="1" si="1"/>
        <v>0.99540967011398629</v>
      </c>
      <c r="AW3" s="5">
        <f t="shared" ca="1" si="1"/>
        <v>0.47209819507852591</v>
      </c>
      <c r="AX3" s="5">
        <f t="shared" ca="1" si="1"/>
        <v>0.2795563306942449</v>
      </c>
      <c r="AY3" s="5">
        <f t="shared" ca="1" si="1"/>
        <v>0.94400140785329345</v>
      </c>
      <c r="AZ3" s="5">
        <f t="shared" ca="1" si="1"/>
        <v>0.81391164263042703</v>
      </c>
      <c r="BA3" s="5">
        <f t="shared" ref="BA3:CC3" ca="1" si="2">RAND()</f>
        <v>0.28007296622201938</v>
      </c>
      <c r="BB3" s="5">
        <f t="shared" ca="1" si="2"/>
        <v>0.55822123056430162</v>
      </c>
      <c r="BC3" s="5">
        <f t="shared" ca="1" si="2"/>
        <v>0.64907068624459774</v>
      </c>
      <c r="BD3" s="5">
        <f t="shared" ca="1" si="2"/>
        <v>4.7465598815963128E-2</v>
      </c>
      <c r="BE3" s="5">
        <f t="shared" ca="1" si="2"/>
        <v>0.84122861761223222</v>
      </c>
      <c r="BF3" s="5">
        <f t="shared" ca="1" si="2"/>
        <v>0.55550116086741319</v>
      </c>
      <c r="BG3" s="5">
        <f t="shared" ca="1" si="2"/>
        <v>0.85804732890416613</v>
      </c>
      <c r="BH3" s="5">
        <f t="shared" ca="1" si="2"/>
        <v>0.51795394074383394</v>
      </c>
      <c r="BI3" s="5">
        <f t="shared" ca="1" si="2"/>
        <v>0.22514297222053248</v>
      </c>
      <c r="BJ3" s="5">
        <f t="shared" ca="1" si="2"/>
        <v>7.9632768496742279E-2</v>
      </c>
      <c r="BK3" s="5">
        <f t="shared" ca="1" si="2"/>
        <v>0.26897610477665612</v>
      </c>
      <c r="BL3" s="5">
        <f t="shared" ca="1" si="2"/>
        <v>0.88304966035716315</v>
      </c>
      <c r="BM3" s="5">
        <f t="shared" ca="1" si="2"/>
        <v>0.41206302892246116</v>
      </c>
      <c r="BN3" s="5">
        <f t="shared" ca="1" si="2"/>
        <v>0.33864457511457313</v>
      </c>
      <c r="BO3" s="5">
        <f t="shared" ca="1" si="2"/>
        <v>0.80055071018292423</v>
      </c>
      <c r="BP3" s="5">
        <f t="shared" ca="1" si="2"/>
        <v>0.37269182020365343</v>
      </c>
      <c r="BQ3" s="5">
        <f t="shared" ca="1" si="2"/>
        <v>0.94758234649040529</v>
      </c>
      <c r="BR3" s="5">
        <f t="shared" ca="1" si="2"/>
        <v>0.85407153419779025</v>
      </c>
      <c r="BS3" s="5">
        <f t="shared" ca="1" si="2"/>
        <v>0.97306958327135951</v>
      </c>
      <c r="BT3" s="5">
        <f t="shared" ca="1" si="2"/>
        <v>0.44365311587735323</v>
      </c>
      <c r="BU3" s="5">
        <f t="shared" ca="1" si="2"/>
        <v>0.65617143860596261</v>
      </c>
      <c r="BV3" s="5">
        <f t="shared" ca="1" si="2"/>
        <v>0.71299669102478058</v>
      </c>
      <c r="BW3" s="5">
        <f t="shared" ca="1" si="2"/>
        <v>0.37512400699748072</v>
      </c>
      <c r="BX3" s="5">
        <f t="shared" ca="1" si="2"/>
        <v>0.39677667385703941</v>
      </c>
      <c r="BY3" s="5">
        <f t="shared" ca="1" si="2"/>
        <v>0.37167294827853536</v>
      </c>
      <c r="BZ3" s="5">
        <f t="shared" ca="1" si="2"/>
        <v>0.54702537288795638</v>
      </c>
      <c r="CA3" s="5">
        <f t="shared" ca="1" si="2"/>
        <v>0.37078365320816165</v>
      </c>
      <c r="CB3" s="5">
        <f t="shared" ca="1" si="2"/>
        <v>0.65013955226048725</v>
      </c>
      <c r="CC3" s="5">
        <f t="shared" ca="1" si="2"/>
        <v>0.54371807315757403</v>
      </c>
    </row>
    <row r="4" spans="1:81" x14ac:dyDescent="0.4">
      <c r="A4" s="1" t="str">
        <f t="shared" si="0"/>
        <v>1.0,1.15,1.3</v>
      </c>
      <c r="B4" s="5" t="s">
        <v>9</v>
      </c>
      <c r="C4" s="3" t="str">
        <f ca="1">W6 &amp; "," &amp; W6 &amp; "," &amp; W6</f>
        <v>51,51,51</v>
      </c>
      <c r="U4" s="5">
        <f t="shared" ref="U4:AZ4" ca="1" si="3">RANK(U3, $U$3:$CC$3)</f>
        <v>21</v>
      </c>
      <c r="V4" s="5">
        <f t="shared" ca="1" si="3"/>
        <v>38</v>
      </c>
      <c r="W4" s="5">
        <f t="shared" ca="1" si="3"/>
        <v>39</v>
      </c>
      <c r="X4" s="5">
        <f t="shared" ca="1" si="3"/>
        <v>24</v>
      </c>
      <c r="Y4" s="5">
        <f t="shared" ca="1" si="3"/>
        <v>57</v>
      </c>
      <c r="Z4" s="5">
        <f t="shared" ca="1" si="3"/>
        <v>46</v>
      </c>
      <c r="AA4" s="5">
        <f t="shared" ca="1" si="3"/>
        <v>56</v>
      </c>
      <c r="AB4" s="5">
        <f t="shared" ca="1" si="3"/>
        <v>53</v>
      </c>
      <c r="AC4" s="5">
        <f t="shared" ca="1" si="3"/>
        <v>48</v>
      </c>
      <c r="AD4" s="5">
        <f t="shared" ca="1" si="3"/>
        <v>7</v>
      </c>
      <c r="AE4" s="5">
        <f t="shared" ca="1" si="3"/>
        <v>33</v>
      </c>
      <c r="AF4" s="5">
        <f t="shared" ca="1" si="3"/>
        <v>23</v>
      </c>
      <c r="AG4" s="5">
        <f t="shared" ca="1" si="3"/>
        <v>26</v>
      </c>
      <c r="AH4" s="5">
        <f t="shared" ca="1" si="3"/>
        <v>20</v>
      </c>
      <c r="AI4" s="5">
        <f t="shared" ca="1" si="3"/>
        <v>32</v>
      </c>
      <c r="AJ4" s="5">
        <f t="shared" ca="1" si="3"/>
        <v>36</v>
      </c>
      <c r="AK4" s="5">
        <f t="shared" ca="1" si="3"/>
        <v>2</v>
      </c>
      <c r="AL4" s="5">
        <f t="shared" ca="1" si="3"/>
        <v>49</v>
      </c>
      <c r="AM4" s="5">
        <f t="shared" ca="1" si="3"/>
        <v>61</v>
      </c>
      <c r="AN4" s="5">
        <f t="shared" ca="1" si="3"/>
        <v>13</v>
      </c>
      <c r="AO4" s="5">
        <f t="shared" ca="1" si="3"/>
        <v>55</v>
      </c>
      <c r="AP4" s="5">
        <f t="shared" ca="1" si="3"/>
        <v>30</v>
      </c>
      <c r="AQ4" s="5">
        <f t="shared" ca="1" si="3"/>
        <v>34</v>
      </c>
      <c r="AR4" s="5">
        <f t="shared" ca="1" si="3"/>
        <v>16</v>
      </c>
      <c r="AS4" s="5">
        <f t="shared" ca="1" si="3"/>
        <v>15</v>
      </c>
      <c r="AT4" s="5">
        <f t="shared" ca="1" si="3"/>
        <v>22</v>
      </c>
      <c r="AU4" s="5">
        <f t="shared" ca="1" si="3"/>
        <v>58</v>
      </c>
      <c r="AV4" s="5">
        <f t="shared" ca="1" si="3"/>
        <v>1</v>
      </c>
      <c r="AW4" s="5">
        <f t="shared" ca="1" si="3"/>
        <v>35</v>
      </c>
      <c r="AX4" s="5">
        <f t="shared" ca="1" si="3"/>
        <v>51</v>
      </c>
      <c r="AY4" s="5">
        <f t="shared" ca="1" si="3"/>
        <v>5</v>
      </c>
      <c r="AZ4" s="5">
        <f t="shared" ca="1" si="3"/>
        <v>11</v>
      </c>
      <c r="BA4" s="5">
        <f t="shared" ref="BA4:CC4" ca="1" si="4">RANK(BA3, $U$3:$CC$3)</f>
        <v>50</v>
      </c>
      <c r="BB4" s="5">
        <f t="shared" ca="1" si="4"/>
        <v>25</v>
      </c>
      <c r="BC4" s="5">
        <f t="shared" ca="1" si="4"/>
        <v>19</v>
      </c>
      <c r="BD4" s="5">
        <f t="shared" ca="1" si="4"/>
        <v>60</v>
      </c>
      <c r="BE4" s="5">
        <f t="shared" ca="1" si="4"/>
        <v>10</v>
      </c>
      <c r="BF4" s="5">
        <f t="shared" ca="1" si="4"/>
        <v>27</v>
      </c>
      <c r="BG4" s="5">
        <f t="shared" ca="1" si="4"/>
        <v>8</v>
      </c>
      <c r="BH4" s="5">
        <f t="shared" ca="1" si="4"/>
        <v>31</v>
      </c>
      <c r="BI4" s="5">
        <f t="shared" ca="1" si="4"/>
        <v>54</v>
      </c>
      <c r="BJ4" s="5">
        <f t="shared" ca="1" si="4"/>
        <v>59</v>
      </c>
      <c r="BK4" s="5">
        <f t="shared" ca="1" si="4"/>
        <v>52</v>
      </c>
      <c r="BL4" s="5">
        <f t="shared" ca="1" si="4"/>
        <v>6</v>
      </c>
      <c r="BM4" s="5">
        <f t="shared" ca="1" si="4"/>
        <v>40</v>
      </c>
      <c r="BN4" s="5">
        <f t="shared" ca="1" si="4"/>
        <v>47</v>
      </c>
      <c r="BO4" s="5">
        <f t="shared" ca="1" si="4"/>
        <v>12</v>
      </c>
      <c r="BP4" s="5">
        <f t="shared" ca="1" si="4"/>
        <v>43</v>
      </c>
      <c r="BQ4" s="5">
        <f t="shared" ca="1" si="4"/>
        <v>4</v>
      </c>
      <c r="BR4" s="5">
        <f t="shared" ca="1" si="4"/>
        <v>9</v>
      </c>
      <c r="BS4" s="5">
        <f t="shared" ca="1" si="4"/>
        <v>3</v>
      </c>
      <c r="BT4" s="5">
        <f t="shared" ca="1" si="4"/>
        <v>37</v>
      </c>
      <c r="BU4" s="5">
        <f t="shared" ca="1" si="4"/>
        <v>17</v>
      </c>
      <c r="BV4" s="5">
        <f t="shared" ca="1" si="4"/>
        <v>14</v>
      </c>
      <c r="BW4" s="5">
        <f t="shared" ca="1" si="4"/>
        <v>42</v>
      </c>
      <c r="BX4" s="5">
        <f t="shared" ca="1" si="4"/>
        <v>41</v>
      </c>
      <c r="BY4" s="5">
        <f t="shared" ca="1" si="4"/>
        <v>44</v>
      </c>
      <c r="BZ4" s="5">
        <f t="shared" ca="1" si="4"/>
        <v>28</v>
      </c>
      <c r="CA4" s="5">
        <f t="shared" ca="1" si="4"/>
        <v>45</v>
      </c>
      <c r="CB4" s="5">
        <f t="shared" ca="1" si="4"/>
        <v>18</v>
      </c>
      <c r="CC4" s="5">
        <f t="shared" ca="1" si="4"/>
        <v>29</v>
      </c>
    </row>
    <row r="5" spans="1:81" x14ac:dyDescent="0.4">
      <c r="A5" s="1" t="str">
        <f t="shared" si="0"/>
        <v>1.0,1.15,1.3</v>
      </c>
      <c r="B5" s="5" t="s">
        <v>9</v>
      </c>
      <c r="C5" s="3" t="str">
        <f ca="1">X6 &amp; "," &amp; X6 &amp; "," &amp; X6</f>
        <v>49,49,49</v>
      </c>
      <c r="U5" s="5">
        <f t="shared" ref="U5:AN5" ca="1" si="5">INDEX($U$2:$CC$2, MATCH(U2, $U$4:$CC$4, 0))</f>
        <v>28</v>
      </c>
      <c r="V5" s="5">
        <f t="shared" ca="1" si="5"/>
        <v>17</v>
      </c>
      <c r="W5" s="5">
        <f t="shared" ca="1" si="5"/>
        <v>51</v>
      </c>
      <c r="X5" s="5">
        <f t="shared" ca="1" si="5"/>
        <v>49</v>
      </c>
      <c r="Y5" s="5">
        <f t="shared" ca="1" si="5"/>
        <v>31</v>
      </c>
      <c r="Z5" s="5">
        <f t="shared" ca="1" si="5"/>
        <v>44</v>
      </c>
      <c r="AA5" s="5">
        <f t="shared" ca="1" si="5"/>
        <v>10</v>
      </c>
      <c r="AB5" s="5">
        <f t="shared" ca="1" si="5"/>
        <v>39</v>
      </c>
      <c r="AC5" s="5">
        <f t="shared" ca="1" si="5"/>
        <v>50</v>
      </c>
      <c r="AD5" s="5">
        <f t="shared" ca="1" si="5"/>
        <v>37</v>
      </c>
      <c r="AE5" s="5">
        <f t="shared" ca="1" si="5"/>
        <v>32</v>
      </c>
      <c r="AF5" s="5">
        <f t="shared" ca="1" si="5"/>
        <v>47</v>
      </c>
      <c r="AG5" s="5">
        <f t="shared" ca="1" si="5"/>
        <v>20</v>
      </c>
      <c r="AH5" s="5">
        <f t="shared" ca="1" si="5"/>
        <v>117</v>
      </c>
      <c r="AI5" s="5">
        <f t="shared" ca="1" si="5"/>
        <v>25</v>
      </c>
      <c r="AJ5" s="5">
        <f t="shared" ca="1" si="5"/>
        <v>24</v>
      </c>
      <c r="AK5" s="5">
        <f t="shared" ca="1" si="5"/>
        <v>53</v>
      </c>
      <c r="AL5" s="5">
        <f t="shared" ca="1" si="5"/>
        <v>135</v>
      </c>
      <c r="AM5" s="5">
        <f t="shared" ca="1" si="5"/>
        <v>35</v>
      </c>
      <c r="AN5" s="5">
        <f t="shared" ca="1" si="5"/>
        <v>14</v>
      </c>
      <c r="AO5" s="6"/>
      <c r="AP5" s="6"/>
      <c r="AQ5" s="6"/>
      <c r="AR5" s="6"/>
      <c r="AS5" s="6"/>
    </row>
    <row r="6" spans="1:81" x14ac:dyDescent="0.4">
      <c r="A6" s="1" t="str">
        <f t="shared" si="0"/>
        <v>1.0,1.15,1.3</v>
      </c>
      <c r="B6" s="5" t="s">
        <v>9</v>
      </c>
      <c r="C6" s="3" t="str">
        <f ca="1">Y6 &amp; "," &amp; Y6 &amp; "," &amp; Y6</f>
        <v>31,31,31</v>
      </c>
      <c r="U6" s="3">
        <f t="shared" ref="U6:AN6" ca="1" si="6">U5</f>
        <v>28</v>
      </c>
      <c r="V6" s="3">
        <f t="shared" ca="1" si="6"/>
        <v>17</v>
      </c>
      <c r="W6" s="3">
        <f t="shared" ca="1" si="6"/>
        <v>51</v>
      </c>
      <c r="X6" s="3">
        <f t="shared" ca="1" si="6"/>
        <v>49</v>
      </c>
      <c r="Y6" s="3">
        <f t="shared" ca="1" si="6"/>
        <v>31</v>
      </c>
      <c r="Z6" s="3">
        <f t="shared" ca="1" si="6"/>
        <v>44</v>
      </c>
      <c r="AA6" s="3">
        <f t="shared" ca="1" si="6"/>
        <v>10</v>
      </c>
      <c r="AB6" s="3">
        <f t="shared" ca="1" si="6"/>
        <v>39</v>
      </c>
      <c r="AC6" s="3">
        <f t="shared" ca="1" si="6"/>
        <v>50</v>
      </c>
      <c r="AD6" s="3">
        <f t="shared" ca="1" si="6"/>
        <v>37</v>
      </c>
      <c r="AE6" s="3">
        <f t="shared" ca="1" si="6"/>
        <v>32</v>
      </c>
      <c r="AF6" s="3">
        <f t="shared" ca="1" si="6"/>
        <v>47</v>
      </c>
      <c r="AG6" s="3">
        <f t="shared" ca="1" si="6"/>
        <v>20</v>
      </c>
      <c r="AH6" s="3">
        <f t="shared" ca="1" si="6"/>
        <v>117</v>
      </c>
      <c r="AI6" s="3">
        <f t="shared" ca="1" si="6"/>
        <v>25</v>
      </c>
      <c r="AJ6" s="3">
        <f t="shared" ca="1" si="6"/>
        <v>24</v>
      </c>
      <c r="AK6" s="3">
        <f t="shared" ca="1" si="6"/>
        <v>53</v>
      </c>
      <c r="AL6" s="3">
        <f t="shared" ca="1" si="6"/>
        <v>135</v>
      </c>
      <c r="AM6" s="3">
        <f t="shared" ca="1" si="6"/>
        <v>35</v>
      </c>
      <c r="AN6" s="3">
        <f t="shared" ca="1" si="6"/>
        <v>14</v>
      </c>
      <c r="AO6" s="6"/>
      <c r="AP6" s="6"/>
      <c r="AQ6" s="6"/>
      <c r="AR6" s="6"/>
      <c r="AS6" s="6"/>
    </row>
    <row r="7" spans="1:81" x14ac:dyDescent="0.4">
      <c r="A7" s="1" t="str">
        <f t="shared" si="0"/>
        <v>1.0,1.15,1.3</v>
      </c>
      <c r="B7" s="5" t="s">
        <v>9</v>
      </c>
      <c r="C7" s="3" t="str">
        <f ca="1">Z6 &amp; "," &amp; Z6 &amp; "," &amp; Z6</f>
        <v>44,44,44</v>
      </c>
    </row>
    <row r="8" spans="1:81" x14ac:dyDescent="0.4">
      <c r="A8" s="1" t="str">
        <f t="shared" si="0"/>
        <v>1.0,1.15,1.3</v>
      </c>
      <c r="B8" s="5" t="s">
        <v>9</v>
      </c>
      <c r="C8" s="3" t="str">
        <f ca="1">AA6 &amp; "," &amp; AA6 &amp; "," &amp; AA6</f>
        <v>10,10,10</v>
      </c>
      <c r="AB8" s="5"/>
      <c r="AC8" s="5"/>
      <c r="AD8" s="5"/>
      <c r="AE8" s="5"/>
      <c r="AF8" s="5"/>
      <c r="AG8" s="5"/>
    </row>
    <row r="9" spans="1:81" x14ac:dyDescent="0.4">
      <c r="A9" s="1" t="str">
        <f t="shared" si="0"/>
        <v>1.0,1.15,1.3</v>
      </c>
      <c r="B9" s="5" t="s">
        <v>9</v>
      </c>
      <c r="C9" s="3" t="str">
        <f ca="1">AB6 &amp; "," &amp; AB6 &amp; "," &amp; AB6</f>
        <v>39,39,39</v>
      </c>
    </row>
    <row r="10" spans="1:81" x14ac:dyDescent="0.4">
      <c r="A10" s="1" t="str">
        <f t="shared" si="0"/>
        <v>1.0,1.15,1.3</v>
      </c>
      <c r="B10" s="5" t="s">
        <v>9</v>
      </c>
      <c r="C10" s="3" t="str">
        <f ca="1">AC6 &amp; "," &amp; AC6 &amp; "," &amp; AC6</f>
        <v>50,50,50</v>
      </c>
    </row>
    <row r="11" spans="1:81" x14ac:dyDescent="0.4">
      <c r="A11" s="1" t="str">
        <f t="shared" si="0"/>
        <v>1.0,1.15,1.3</v>
      </c>
      <c r="B11" s="5" t="s">
        <v>9</v>
      </c>
      <c r="C11" s="3" t="str">
        <f ca="1">AD6 &amp; "," &amp; AD6 &amp; "," &amp; AD6</f>
        <v>37,37,37</v>
      </c>
    </row>
  </sheetData>
  <mergeCells count="1">
    <mergeCell ref="K1:L1"/>
  </mergeCells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pep-mouse-02</dc:creator>
  <cp:lastModifiedBy>Nishida Keito</cp:lastModifiedBy>
  <dcterms:created xsi:type="dcterms:W3CDTF">2024-06-24T03:10:33Z</dcterms:created>
  <dcterms:modified xsi:type="dcterms:W3CDTF">2024-07-12T07:04:43Z</dcterms:modified>
</cp:coreProperties>
</file>