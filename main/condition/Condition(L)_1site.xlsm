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werSystemLab\Documents\FromDesktop\01_研究資料\05_実行ファイル\CPAT\02_MyModel\CPATFreeR05V1.0\CPATFree_R05_Ver1.0\model\EAST10\List\Condition\"/>
    </mc:Choice>
  </mc:AlternateContent>
  <xr:revisionPtr revIDLastSave="0" documentId="13_ncr:1_{B92E9F50-0C9C-413F-ACF0-5925520C1BEE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3" i="1" s="1"/>
  <c r="D4" i="1" s="1"/>
  <c r="D5" i="1" s="1"/>
  <c r="D6" i="1" s="1"/>
  <c r="D7" i="1" s="1"/>
  <c r="D8" i="1" s="1"/>
  <c r="D9" i="1" s="1"/>
  <c r="D10" i="1" s="1"/>
  <c r="D11" i="1" s="1"/>
  <c r="A4" i="1"/>
  <c r="A5" i="1"/>
  <c r="A6" i="1"/>
  <c r="A7" i="1"/>
  <c r="A8" i="1"/>
  <c r="A9" i="1"/>
  <c r="A10" i="1"/>
  <c r="A11" i="1"/>
  <c r="A3" i="1"/>
  <c r="A2" i="1"/>
  <c r="AV3" i="1"/>
  <c r="AW3" i="1"/>
  <c r="AX3" i="1"/>
  <c r="AY3" i="1"/>
  <c r="AZ3" i="1"/>
  <c r="BA3" i="1"/>
  <c r="BB3" i="1"/>
  <c r="BC3" i="1"/>
  <c r="BD3" i="1"/>
  <c r="BE3" i="1"/>
  <c r="AU3" i="1" l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U4" i="1" l="1"/>
  <c r="BC4" i="1"/>
  <c r="BE4" i="1"/>
  <c r="BD4" i="1"/>
  <c r="AZ4" i="1"/>
  <c r="AV4" i="1"/>
  <c r="AW4" i="1"/>
  <c r="AX4" i="1"/>
  <c r="BA4" i="1"/>
  <c r="AY4" i="1"/>
  <c r="BB4" i="1"/>
  <c r="AS4" i="1"/>
  <c r="AQ4" i="1"/>
  <c r="AF4" i="1"/>
  <c r="AC4" i="1"/>
  <c r="AH4" i="1"/>
  <c r="AI4" i="1"/>
  <c r="AG4" i="1"/>
  <c r="V4" i="1"/>
  <c r="AL4" i="1"/>
  <c r="Z4" i="1"/>
  <c r="AB4" i="1"/>
  <c r="AM4" i="1"/>
  <c r="AN4" i="1"/>
  <c r="Y4" i="1"/>
  <c r="AR4" i="1"/>
  <c r="AU4" i="1"/>
  <c r="AD4" i="1"/>
  <c r="X4" i="1"/>
  <c r="AP4" i="1"/>
  <c r="W4" i="1"/>
  <c r="AO4" i="1"/>
  <c r="AA4" i="1"/>
  <c r="AT4" i="1"/>
  <c r="AE4" i="1"/>
  <c r="AJ4" i="1"/>
  <c r="AK4" i="1"/>
  <c r="W5" i="1" l="1"/>
  <c r="W6" i="1" s="1"/>
  <c r="C4" i="1" s="1"/>
  <c r="AM5" i="1"/>
  <c r="AM6" i="1" s="1"/>
  <c r="Y5" i="1"/>
  <c r="Y6" i="1" s="1"/>
  <c r="C6" i="1" s="1"/>
  <c r="X5" i="1"/>
  <c r="X6" i="1" s="1"/>
  <c r="C5" i="1" s="1"/>
  <c r="AN5" i="1"/>
  <c r="AN6" i="1" s="1"/>
  <c r="Z5" i="1"/>
  <c r="Z6" i="1" s="1"/>
  <c r="C7" i="1" s="1"/>
  <c r="AA5" i="1"/>
  <c r="AA6" i="1" s="1"/>
  <c r="C8" i="1" s="1"/>
  <c r="AB5" i="1"/>
  <c r="AB6" i="1" s="1"/>
  <c r="C9" i="1" s="1"/>
  <c r="AC5" i="1"/>
  <c r="AC6" i="1" s="1"/>
  <c r="C10" i="1" s="1"/>
  <c r="AD5" i="1"/>
  <c r="AD6" i="1" s="1"/>
  <c r="C11" i="1" s="1"/>
  <c r="AE5" i="1"/>
  <c r="AE6" i="1" s="1"/>
  <c r="AF5" i="1"/>
  <c r="AF6" i="1" s="1"/>
  <c r="AG5" i="1"/>
  <c r="AG6" i="1" s="1"/>
  <c r="AH5" i="1"/>
  <c r="AH6" i="1" s="1"/>
  <c r="AI5" i="1"/>
  <c r="AI6" i="1" s="1"/>
  <c r="AJ5" i="1"/>
  <c r="AJ6" i="1" s="1"/>
  <c r="AK5" i="1"/>
  <c r="AK6" i="1" s="1"/>
  <c r="AL5" i="1"/>
  <c r="AL6" i="1" s="1"/>
  <c r="V5" i="1"/>
  <c r="V6" i="1" s="1"/>
  <c r="C3" i="1" s="1"/>
  <c r="U5" i="1"/>
  <c r="U6" i="1" s="1"/>
  <c r="C2" i="1" s="1"/>
</calcChain>
</file>

<file path=xl/sharedStrings.xml><?xml version="1.0" encoding="utf-8"?>
<sst xmlns="http://schemas.openxmlformats.org/spreadsheetml/2006/main" count="23" uniqueCount="14">
  <si>
    <t>Ktyp</t>
  </si>
  <si>
    <t>Ichi</t>
  </si>
  <si>
    <t>Data1</t>
  </si>
  <si>
    <t>Data2</t>
  </si>
  <si>
    <t>Data3</t>
  </si>
  <si>
    <t>Data4</t>
  </si>
  <si>
    <t>Branch</t>
  </si>
  <si>
    <t>ΔP</t>
    <phoneticPr fontId="1"/>
  </si>
  <si>
    <r>
      <t>自動化のための更新係数（</t>
    </r>
    <r>
      <rPr>
        <b/>
        <sz val="11"/>
        <color theme="1"/>
        <rFont val="游ゴシック"/>
        <family val="3"/>
        <charset val="128"/>
        <scheme val="minor"/>
      </rPr>
      <t>※いじらない</t>
    </r>
    <r>
      <rPr>
        <sz val="11"/>
        <color theme="1"/>
        <rFont val="游ゴシック"/>
        <family val="2"/>
        <charset val="128"/>
        <scheme val="minor"/>
      </rPr>
      <t>）</t>
    </r>
    <rPh sb="0" eb="3">
      <t>ジドウカ</t>
    </rPh>
    <rPh sb="7" eb="11">
      <t>コウシンケイスウ</t>
    </rPh>
    <phoneticPr fontId="1"/>
  </si>
  <si>
    <t>Rate</t>
    <phoneticPr fontId="1"/>
  </si>
  <si>
    <t>PL</t>
    <phoneticPr fontId="1"/>
  </si>
  <si>
    <t>p.u</t>
    <phoneticPr fontId="1"/>
  </si>
  <si>
    <t>Time</t>
    <phoneticPr fontId="1"/>
  </si>
  <si>
    <t>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</si>
</sst>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11"/>
  <sheetViews>
    <sheetView tabSelected="1" zoomScale="85" zoomScaleNormal="85" workbookViewId="0">
      <selection activeCell="O7" sqref="O7"/>
    </sheetView>
  </sheetViews>
  <sheetFormatPr defaultRowHeight="18.75" x14ac:dyDescent="0.4"/>
  <cols>
    <col min="1" max="1" width="16.625" style="3" bestFit="1" customWidth="1"/>
    <col min="4" max="4" width="11.125" style="3" bestFit="1" customWidth="1"/>
    <col min="8" max="8" width="12.75" style="3" bestFit="1" customWidth="1"/>
    <col min="14" max="14" width="9.375" style="3" bestFit="1" customWidth="1"/>
    <col min="20" max="20" width="3.125" style="3" customWidth="1"/>
    <col min="21" max="40" width="6.375" style="3" customWidth="1"/>
    <col min="41" max="45" width="6.375" style="4" customWidth="1"/>
    <col min="46" max="57" width="6.375" style="3" customWidth="1"/>
  </cols>
  <sheetData>
    <row r="1" spans="1:57" x14ac:dyDescent="0.4">
      <c r="A1" s="3" t="s">
        <v>12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/>
      <c r="I1" s="5"/>
      <c r="J1" s="6" t="s">
        <v>7</v>
      </c>
      <c r="K1" s="9">
        <v>500</v>
      </c>
      <c r="L1" s="9"/>
      <c r="M1" s="5"/>
      <c r="N1" s="5"/>
      <c r="O1" s="5" t="s">
        <v>8</v>
      </c>
      <c r="P1" s="5"/>
      <c r="Q1" s="5"/>
    </row>
    <row r="2" spans="1:57" x14ac:dyDescent="0.4">
      <c r="A2" s="5" t="str">
        <f>TEXT(1, "0.0")</f>
        <v>1.0</v>
      </c>
      <c r="B2" s="5" t="s">
        <v>13</v>
      </c>
      <c r="C2" s="2">
        <f ca="1">U6</f>
        <v>37</v>
      </c>
      <c r="D2" s="5">
        <f>ROUND(K1*K2/(P4*1000),3)</f>
        <v>0.26400000000000001</v>
      </c>
      <c r="E2" s="5"/>
      <c r="F2" s="5"/>
      <c r="G2" s="5"/>
      <c r="H2" s="5"/>
      <c r="I2" s="5"/>
      <c r="J2" s="5" t="s">
        <v>9</v>
      </c>
      <c r="K2" s="5">
        <v>1</v>
      </c>
      <c r="L2" s="5">
        <v>1</v>
      </c>
      <c r="M2" s="5"/>
      <c r="N2" s="5"/>
      <c r="O2" s="5">
        <v>0</v>
      </c>
      <c r="P2" s="5"/>
      <c r="Q2" s="5"/>
      <c r="T2" s="1" t="s">
        <v>6</v>
      </c>
      <c r="U2" s="1">
        <v>11</v>
      </c>
      <c r="V2" s="1">
        <v>12</v>
      </c>
      <c r="W2" s="1">
        <v>13</v>
      </c>
      <c r="X2" s="1">
        <v>14</v>
      </c>
      <c r="Y2" s="1">
        <v>15</v>
      </c>
      <c r="Z2" s="1">
        <v>16</v>
      </c>
      <c r="AA2" s="1">
        <v>17</v>
      </c>
      <c r="AB2" s="1">
        <v>18</v>
      </c>
      <c r="AC2" s="1">
        <v>19</v>
      </c>
      <c r="AD2" s="1">
        <v>20</v>
      </c>
      <c r="AE2" s="1">
        <v>21</v>
      </c>
      <c r="AF2" s="1">
        <v>22</v>
      </c>
      <c r="AG2" s="1">
        <v>23</v>
      </c>
      <c r="AH2" s="1">
        <v>24</v>
      </c>
      <c r="AI2" s="1">
        <v>25</v>
      </c>
      <c r="AJ2" s="1">
        <v>26</v>
      </c>
      <c r="AK2" s="1">
        <v>27</v>
      </c>
      <c r="AL2" s="1">
        <v>28</v>
      </c>
      <c r="AM2" s="1">
        <v>29</v>
      </c>
      <c r="AN2" s="1">
        <v>30</v>
      </c>
      <c r="AO2" s="1">
        <v>31</v>
      </c>
      <c r="AP2" s="1">
        <v>32</v>
      </c>
      <c r="AQ2" s="1">
        <v>33</v>
      </c>
      <c r="AR2" s="1">
        <v>34</v>
      </c>
      <c r="AS2" s="1">
        <v>35</v>
      </c>
      <c r="AT2" s="1">
        <v>36</v>
      </c>
      <c r="AU2" s="1">
        <v>37</v>
      </c>
      <c r="AV2" s="1">
        <v>38</v>
      </c>
      <c r="AW2" s="1">
        <v>39</v>
      </c>
      <c r="AX2" s="1">
        <v>40</v>
      </c>
      <c r="AY2" s="1">
        <v>41</v>
      </c>
      <c r="AZ2" s="1">
        <v>42</v>
      </c>
      <c r="BA2" s="1">
        <v>43</v>
      </c>
      <c r="BB2" s="1">
        <v>44</v>
      </c>
      <c r="BC2" s="1">
        <v>45</v>
      </c>
      <c r="BD2" s="1">
        <v>46</v>
      </c>
      <c r="BE2" s="1">
        <v>47</v>
      </c>
    </row>
    <row r="3" spans="1:57" x14ac:dyDescent="0.4">
      <c r="A3" s="5" t="str">
        <f>TEXT(1, "0.0")</f>
        <v>1.0</v>
      </c>
      <c r="B3" s="5" t="s">
        <v>13</v>
      </c>
      <c r="C3" s="2">
        <f ca="1">V6</f>
        <v>34</v>
      </c>
      <c r="D3" s="5">
        <f>D2</f>
        <v>0.26400000000000001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U3" s="4">
        <f t="shared" ref="U3:BE3" ca="1" si="0">RAND()</f>
        <v>0.53985876209409622</v>
      </c>
      <c r="V3" s="4">
        <f t="shared" ca="1" si="0"/>
        <v>0.29145323176843851</v>
      </c>
      <c r="W3" s="4">
        <f t="shared" ca="1" si="0"/>
        <v>0.5512264791559125</v>
      </c>
      <c r="X3" s="4">
        <f t="shared" ca="1" si="0"/>
        <v>0.1112105786413099</v>
      </c>
      <c r="Y3" s="4">
        <f t="shared" ca="1" si="0"/>
        <v>0.33235062073944432</v>
      </c>
      <c r="Z3" s="4">
        <f t="shared" ca="1" si="0"/>
        <v>0.94344687822015338</v>
      </c>
      <c r="AA3" s="4">
        <f t="shared" ca="1" si="0"/>
        <v>0.53301909624792299</v>
      </c>
      <c r="AB3" s="4">
        <f t="shared" ca="1" si="0"/>
        <v>0.48012354027896187</v>
      </c>
      <c r="AC3" s="4">
        <f t="shared" ca="1" si="0"/>
        <v>0.64119830352644991</v>
      </c>
      <c r="AD3" s="4">
        <f t="shared" ca="1" si="0"/>
        <v>0.31228073140482437</v>
      </c>
      <c r="AE3" s="4">
        <f t="shared" ca="1" si="0"/>
        <v>0.26386065707822914</v>
      </c>
      <c r="AF3" s="4">
        <f t="shared" ca="1" si="0"/>
        <v>0.84710848051871201</v>
      </c>
      <c r="AG3" s="4">
        <f t="shared" ca="1" si="0"/>
        <v>0.94246761290448178</v>
      </c>
      <c r="AH3" s="4">
        <f t="shared" ca="1" si="0"/>
        <v>0.57993553397765174</v>
      </c>
      <c r="AI3" s="4">
        <f t="shared" ca="1" si="0"/>
        <v>0.83957615925561424</v>
      </c>
      <c r="AJ3" s="4">
        <f t="shared" ca="1" si="0"/>
        <v>0.56190473093682414</v>
      </c>
      <c r="AK3" s="4">
        <f t="shared" ca="1" si="0"/>
        <v>5.136928795439144E-2</v>
      </c>
      <c r="AL3" s="4">
        <f t="shared" ca="1" si="0"/>
        <v>0.27356998855037007</v>
      </c>
      <c r="AM3" s="4">
        <f t="shared" ca="1" si="0"/>
        <v>0.77750640117201475</v>
      </c>
      <c r="AN3" s="4">
        <f t="shared" ca="1" si="0"/>
        <v>0.61183379422961315</v>
      </c>
      <c r="AO3" s="4">
        <f t="shared" ca="1" si="0"/>
        <v>0.30700431416415397</v>
      </c>
      <c r="AP3" s="4">
        <f t="shared" ca="1" si="0"/>
        <v>0.83214826101017059</v>
      </c>
      <c r="AQ3" s="4">
        <f t="shared" ca="1" si="0"/>
        <v>0.31475598757029333</v>
      </c>
      <c r="AR3" s="4">
        <f t="shared" ca="1" si="0"/>
        <v>0.98509424306464199</v>
      </c>
      <c r="AS3" s="4">
        <f t="shared" ca="1" si="0"/>
        <v>0.39826023551104672</v>
      </c>
      <c r="AT3" s="4">
        <f t="shared" ca="1" si="0"/>
        <v>0.97702488010783306</v>
      </c>
      <c r="AU3" s="4">
        <f t="shared" ca="1" si="0"/>
        <v>0.99930621712662415</v>
      </c>
      <c r="AV3" s="4">
        <f t="shared" ca="1" si="0"/>
        <v>0.6502424618893391</v>
      </c>
      <c r="AW3" s="4">
        <f t="shared" ca="1" si="0"/>
        <v>0.84317877307750477</v>
      </c>
      <c r="AX3" s="4">
        <f t="shared" ca="1" si="0"/>
        <v>0.29009258034022323</v>
      </c>
      <c r="AY3" s="4">
        <f t="shared" ca="1" si="0"/>
        <v>0.23413216362071965</v>
      </c>
      <c r="AZ3" s="4">
        <f t="shared" ca="1" si="0"/>
        <v>0.62469456840705739</v>
      </c>
      <c r="BA3" s="4">
        <f t="shared" ca="1" si="0"/>
        <v>0.12030347116756057</v>
      </c>
      <c r="BB3" s="4">
        <f t="shared" ca="1" si="0"/>
        <v>0.17901066616512407</v>
      </c>
      <c r="BC3" s="4">
        <f t="shared" ca="1" si="0"/>
        <v>0.85202955212856235</v>
      </c>
      <c r="BD3" s="4">
        <f t="shared" ca="1" si="0"/>
        <v>0.45017451702297839</v>
      </c>
      <c r="BE3" s="4">
        <f t="shared" ca="1" si="0"/>
        <v>0.89683204030211816</v>
      </c>
    </row>
    <row r="4" spans="1:57" x14ac:dyDescent="0.4">
      <c r="A4" s="5" t="str">
        <f t="shared" ref="A4:A11" si="1">TEXT(1, "0.0")</f>
        <v>1.0</v>
      </c>
      <c r="B4" s="5" t="s">
        <v>13</v>
      </c>
      <c r="C4" s="2">
        <f ca="1">W6</f>
        <v>36</v>
      </c>
      <c r="D4" s="5">
        <f t="shared" ref="D4:D11" si="2">D3</f>
        <v>0.26400000000000001</v>
      </c>
      <c r="E4" s="5"/>
      <c r="F4" s="5"/>
      <c r="G4" s="5"/>
      <c r="H4" s="5"/>
      <c r="I4" s="5"/>
      <c r="J4" s="5"/>
      <c r="K4" s="5"/>
      <c r="L4" s="5"/>
      <c r="M4" s="5"/>
      <c r="N4" s="5"/>
      <c r="O4" s="7" t="s">
        <v>10</v>
      </c>
      <c r="P4" s="7">
        <v>1.8918918899999999</v>
      </c>
      <c r="Q4" s="7" t="s">
        <v>11</v>
      </c>
      <c r="U4" s="4">
        <f t="shared" ref="U4:BE4" ca="1" si="3">RANK(U3, $U$3:$BE$3)</f>
        <v>20</v>
      </c>
      <c r="V4" s="4">
        <f t="shared" ca="1" si="3"/>
        <v>29</v>
      </c>
      <c r="W4" s="4">
        <f t="shared" ca="1" si="3"/>
        <v>19</v>
      </c>
      <c r="X4" s="4">
        <f t="shared" ca="1" si="3"/>
        <v>36</v>
      </c>
      <c r="Y4" s="4">
        <f t="shared" ca="1" si="3"/>
        <v>25</v>
      </c>
      <c r="Z4" s="4">
        <f t="shared" ca="1" si="3"/>
        <v>4</v>
      </c>
      <c r="AA4" s="4">
        <f t="shared" ca="1" si="3"/>
        <v>21</v>
      </c>
      <c r="AB4" s="4">
        <f t="shared" ca="1" si="3"/>
        <v>22</v>
      </c>
      <c r="AC4" s="4">
        <f t="shared" ca="1" si="3"/>
        <v>14</v>
      </c>
      <c r="AD4" s="4">
        <f t="shared" ca="1" si="3"/>
        <v>27</v>
      </c>
      <c r="AE4" s="4">
        <f t="shared" ca="1" si="3"/>
        <v>32</v>
      </c>
      <c r="AF4" s="4">
        <f t="shared" ca="1" si="3"/>
        <v>8</v>
      </c>
      <c r="AG4" s="4">
        <f t="shared" ca="1" si="3"/>
        <v>5</v>
      </c>
      <c r="AH4" s="4">
        <f t="shared" ca="1" si="3"/>
        <v>17</v>
      </c>
      <c r="AI4" s="4">
        <f t="shared" ca="1" si="3"/>
        <v>10</v>
      </c>
      <c r="AJ4" s="4">
        <f t="shared" ca="1" si="3"/>
        <v>18</v>
      </c>
      <c r="AK4" s="4">
        <f t="shared" ca="1" si="3"/>
        <v>37</v>
      </c>
      <c r="AL4" s="4">
        <f t="shared" ca="1" si="3"/>
        <v>31</v>
      </c>
      <c r="AM4" s="4">
        <f t="shared" ca="1" si="3"/>
        <v>12</v>
      </c>
      <c r="AN4" s="4">
        <f t="shared" ca="1" si="3"/>
        <v>16</v>
      </c>
      <c r="AO4" s="4">
        <f t="shared" ca="1" si="3"/>
        <v>28</v>
      </c>
      <c r="AP4" s="4">
        <f t="shared" ca="1" si="3"/>
        <v>11</v>
      </c>
      <c r="AQ4" s="4">
        <f t="shared" ca="1" si="3"/>
        <v>26</v>
      </c>
      <c r="AR4" s="4">
        <f t="shared" ca="1" si="3"/>
        <v>2</v>
      </c>
      <c r="AS4" s="4">
        <f t="shared" ca="1" si="3"/>
        <v>24</v>
      </c>
      <c r="AT4" s="4">
        <f t="shared" ca="1" si="3"/>
        <v>3</v>
      </c>
      <c r="AU4" s="4">
        <f t="shared" ca="1" si="3"/>
        <v>1</v>
      </c>
      <c r="AV4" s="4">
        <f t="shared" ca="1" si="3"/>
        <v>13</v>
      </c>
      <c r="AW4" s="4">
        <f t="shared" ca="1" si="3"/>
        <v>9</v>
      </c>
      <c r="AX4" s="4">
        <f t="shared" ca="1" si="3"/>
        <v>30</v>
      </c>
      <c r="AY4" s="4">
        <f t="shared" ca="1" si="3"/>
        <v>33</v>
      </c>
      <c r="AZ4" s="4">
        <f t="shared" ca="1" si="3"/>
        <v>15</v>
      </c>
      <c r="BA4" s="4">
        <f t="shared" ca="1" si="3"/>
        <v>35</v>
      </c>
      <c r="BB4" s="4">
        <f t="shared" ca="1" si="3"/>
        <v>34</v>
      </c>
      <c r="BC4" s="4">
        <f t="shared" ca="1" si="3"/>
        <v>7</v>
      </c>
      <c r="BD4" s="4">
        <f t="shared" ca="1" si="3"/>
        <v>23</v>
      </c>
      <c r="BE4" s="4">
        <f t="shared" ca="1" si="3"/>
        <v>6</v>
      </c>
    </row>
    <row r="5" spans="1:57" x14ac:dyDescent="0.4">
      <c r="A5" s="5" t="str">
        <f t="shared" si="1"/>
        <v>1.0</v>
      </c>
      <c r="B5" s="5" t="s">
        <v>13</v>
      </c>
      <c r="C5" s="2">
        <f ca="1">X6</f>
        <v>16</v>
      </c>
      <c r="D5" s="5">
        <f t="shared" si="2"/>
        <v>0.26400000000000001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U5" s="4">
        <f ca="1">INDEX($U$2:$BE$2, MATCH(U2-10, $U$4:$BE$4, 0))</f>
        <v>37</v>
      </c>
      <c r="V5" s="4">
        <f ca="1">INDEX($U$2:$BE$2, MATCH(V2-10, $U$4:$BE$4, 0))</f>
        <v>34</v>
      </c>
      <c r="W5" s="4">
        <f t="shared" ref="W5:AN5" ca="1" si="4">INDEX($U$2:$BE$2, MATCH(W2-10, $U$4:$BE$4, 0))</f>
        <v>36</v>
      </c>
      <c r="X5" s="4">
        <f t="shared" ca="1" si="4"/>
        <v>16</v>
      </c>
      <c r="Y5" s="4">
        <f t="shared" ca="1" si="4"/>
        <v>23</v>
      </c>
      <c r="Z5" s="4">
        <f t="shared" ca="1" si="4"/>
        <v>47</v>
      </c>
      <c r="AA5" s="4">
        <f t="shared" ca="1" si="4"/>
        <v>45</v>
      </c>
      <c r="AB5" s="4">
        <f t="shared" ca="1" si="4"/>
        <v>22</v>
      </c>
      <c r="AC5" s="4">
        <f t="shared" ca="1" si="4"/>
        <v>39</v>
      </c>
      <c r="AD5" s="4">
        <f t="shared" ca="1" si="4"/>
        <v>25</v>
      </c>
      <c r="AE5" s="4">
        <f t="shared" ca="1" si="4"/>
        <v>32</v>
      </c>
      <c r="AF5" s="4">
        <f t="shared" ca="1" si="4"/>
        <v>29</v>
      </c>
      <c r="AG5" s="4">
        <f t="shared" ca="1" si="4"/>
        <v>38</v>
      </c>
      <c r="AH5" s="4">
        <f t="shared" ca="1" si="4"/>
        <v>19</v>
      </c>
      <c r="AI5" s="4">
        <f t="shared" ca="1" si="4"/>
        <v>42</v>
      </c>
      <c r="AJ5" s="4">
        <f t="shared" ca="1" si="4"/>
        <v>30</v>
      </c>
      <c r="AK5" s="4">
        <f t="shared" ca="1" si="4"/>
        <v>24</v>
      </c>
      <c r="AL5" s="4">
        <f t="shared" ca="1" si="4"/>
        <v>26</v>
      </c>
      <c r="AM5" s="4">
        <f t="shared" ca="1" si="4"/>
        <v>13</v>
      </c>
      <c r="AN5" s="4">
        <f t="shared" ca="1" si="4"/>
        <v>11</v>
      </c>
      <c r="AO5" s="8"/>
      <c r="AP5" s="8"/>
      <c r="AQ5" s="8"/>
      <c r="AR5" s="8"/>
      <c r="AS5" s="8"/>
    </row>
    <row r="6" spans="1:57" x14ac:dyDescent="0.4">
      <c r="A6" s="5" t="str">
        <f t="shared" si="1"/>
        <v>1.0</v>
      </c>
      <c r="B6" s="5" t="s">
        <v>13</v>
      </c>
      <c r="C6" s="2">
        <f ca="1">Y6</f>
        <v>23</v>
      </c>
      <c r="D6" s="5">
        <f t="shared" si="2"/>
        <v>0.26400000000000001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U6" s="2">
        <f t="shared" ref="U6:AN6" ca="1" si="5">U5</f>
        <v>37</v>
      </c>
      <c r="V6" s="2">
        <f t="shared" ca="1" si="5"/>
        <v>34</v>
      </c>
      <c r="W6" s="2">
        <f t="shared" ca="1" si="5"/>
        <v>36</v>
      </c>
      <c r="X6" s="2">
        <f t="shared" ca="1" si="5"/>
        <v>16</v>
      </c>
      <c r="Y6" s="2">
        <f t="shared" ca="1" si="5"/>
        <v>23</v>
      </c>
      <c r="Z6" s="2">
        <f t="shared" ca="1" si="5"/>
        <v>47</v>
      </c>
      <c r="AA6" s="2">
        <f t="shared" ca="1" si="5"/>
        <v>45</v>
      </c>
      <c r="AB6" s="2">
        <f t="shared" ca="1" si="5"/>
        <v>22</v>
      </c>
      <c r="AC6" s="2">
        <f t="shared" ca="1" si="5"/>
        <v>39</v>
      </c>
      <c r="AD6" s="2">
        <f t="shared" ca="1" si="5"/>
        <v>25</v>
      </c>
      <c r="AE6" s="2">
        <f t="shared" ca="1" si="5"/>
        <v>32</v>
      </c>
      <c r="AF6" s="2">
        <f t="shared" ca="1" si="5"/>
        <v>29</v>
      </c>
      <c r="AG6" s="2">
        <f t="shared" ca="1" si="5"/>
        <v>38</v>
      </c>
      <c r="AH6" s="2">
        <f t="shared" ca="1" si="5"/>
        <v>19</v>
      </c>
      <c r="AI6" s="2">
        <f t="shared" ca="1" si="5"/>
        <v>42</v>
      </c>
      <c r="AJ6" s="2">
        <f t="shared" ca="1" si="5"/>
        <v>30</v>
      </c>
      <c r="AK6" s="2">
        <f t="shared" ca="1" si="5"/>
        <v>24</v>
      </c>
      <c r="AL6" s="2">
        <f t="shared" ca="1" si="5"/>
        <v>26</v>
      </c>
      <c r="AM6" s="2">
        <f t="shared" ca="1" si="5"/>
        <v>13</v>
      </c>
      <c r="AN6" s="2">
        <f t="shared" ca="1" si="5"/>
        <v>11</v>
      </c>
      <c r="AO6" s="8"/>
      <c r="AP6" s="8"/>
      <c r="AQ6" s="8"/>
      <c r="AR6" s="8"/>
      <c r="AS6" s="8"/>
    </row>
    <row r="7" spans="1:57" x14ac:dyDescent="0.4">
      <c r="A7" s="5" t="str">
        <f t="shared" si="1"/>
        <v>1.0</v>
      </c>
      <c r="B7" s="5" t="s">
        <v>13</v>
      </c>
      <c r="C7" s="2">
        <f ca="1">Z6</f>
        <v>47</v>
      </c>
      <c r="D7" s="5">
        <f t="shared" si="2"/>
        <v>0.26400000000000001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57" x14ac:dyDescent="0.4">
      <c r="A8" s="5" t="str">
        <f t="shared" si="1"/>
        <v>1.0</v>
      </c>
      <c r="B8" s="5" t="s">
        <v>13</v>
      </c>
      <c r="C8" s="2">
        <f ca="1">AA6</f>
        <v>45</v>
      </c>
      <c r="D8" s="5">
        <f t="shared" si="2"/>
        <v>0.26400000000000001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AB8" s="4"/>
      <c r="AC8" s="4"/>
      <c r="AD8" s="4"/>
      <c r="AE8" s="4"/>
      <c r="AF8" s="4"/>
      <c r="AG8" s="4"/>
    </row>
    <row r="9" spans="1:57" x14ac:dyDescent="0.4">
      <c r="A9" s="5" t="str">
        <f t="shared" si="1"/>
        <v>1.0</v>
      </c>
      <c r="B9" s="5" t="s">
        <v>13</v>
      </c>
      <c r="C9" s="2">
        <f ca="1">AB6</f>
        <v>22</v>
      </c>
      <c r="D9" s="5">
        <f t="shared" si="2"/>
        <v>0.26400000000000001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57" x14ac:dyDescent="0.4">
      <c r="A10" s="5" t="str">
        <f t="shared" si="1"/>
        <v>1.0</v>
      </c>
      <c r="B10" s="5" t="s">
        <v>13</v>
      </c>
      <c r="C10" s="2">
        <f ca="1">AC6</f>
        <v>39</v>
      </c>
      <c r="D10" s="5">
        <f t="shared" si="2"/>
        <v>0.26400000000000001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57" x14ac:dyDescent="0.4">
      <c r="A11" s="5" t="str">
        <f t="shared" si="1"/>
        <v>1.0</v>
      </c>
      <c r="B11" s="5" t="s">
        <v>13</v>
      </c>
      <c r="C11" s="2">
        <f ca="1">AD6</f>
        <v>25</v>
      </c>
      <c r="D11" s="5">
        <f t="shared" si="2"/>
        <v>0.26400000000000001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</sheetData>
  <mergeCells count="1">
    <mergeCell ref="K1:L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pep-mouse-02</dc:creator>
  <cp:lastModifiedBy>Nishida Keito</cp:lastModifiedBy>
  <dcterms:created xsi:type="dcterms:W3CDTF">2024-06-24T03:10:33Z</dcterms:created>
  <dcterms:modified xsi:type="dcterms:W3CDTF">2024-07-12T07:04:59Z</dcterms:modified>
</cp:coreProperties>
</file>