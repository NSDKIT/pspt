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owerSystemLab\Documents\FromDesktop\01_研究資料\05_実行ファイル\CPAT\02_MyModel\CPATFreeR05V1.0\CPATFree_R05_Ver1.0\model\EAST10\List\Condition\"/>
    </mc:Choice>
  </mc:AlternateContent>
  <xr:revisionPtr revIDLastSave="0" documentId="13_ncr:1_{F88837F6-02F9-44C5-A679-E1766522A997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2" i="1"/>
  <c r="B3" i="1"/>
  <c r="B4" i="1" s="1"/>
  <c r="B5" i="1" s="1"/>
  <c r="B6" i="1" s="1"/>
  <c r="B7" i="1" s="1"/>
  <c r="B8" i="1" s="1"/>
  <c r="B9" i="1" s="1"/>
  <c r="B10" i="1" s="1"/>
  <c r="B11" i="1" s="1"/>
  <c r="E4" i="1"/>
  <c r="E5" i="1" s="1"/>
  <c r="E6" i="1" s="1"/>
  <c r="E7" i="1" s="1"/>
  <c r="E8" i="1" s="1"/>
  <c r="E9" i="1" s="1"/>
  <c r="E10" i="1" s="1"/>
  <c r="E11" i="1" s="1"/>
  <c r="I4" i="1"/>
  <c r="I5" i="1" s="1"/>
  <c r="I6" i="1" s="1"/>
  <c r="I7" i="1" s="1"/>
  <c r="I8" i="1" s="1"/>
  <c r="I9" i="1" s="1"/>
  <c r="I10" i="1" s="1"/>
  <c r="I11" i="1" s="1"/>
  <c r="I3" i="1"/>
  <c r="E3" i="1"/>
  <c r="I2" i="1"/>
  <c r="E2" i="1"/>
  <c r="D2" i="1"/>
  <c r="A3" i="1"/>
  <c r="A4" i="1"/>
  <c r="A5" i="1"/>
  <c r="A6" i="1"/>
  <c r="A7" i="1"/>
  <c r="A8" i="1"/>
  <c r="A9" i="1"/>
  <c r="A10" i="1"/>
  <c r="A11" i="1"/>
  <c r="A2" i="1"/>
  <c r="D3" i="1" l="1"/>
  <c r="D4" i="1" s="1"/>
  <c r="D5" i="1" s="1"/>
  <c r="D6" i="1" s="1"/>
  <c r="D7" i="1" s="1"/>
  <c r="D8" i="1" s="1"/>
  <c r="D9" i="1" s="1"/>
  <c r="D10" i="1" s="1"/>
  <c r="D11" i="1" s="1"/>
</calcChain>
</file>

<file path=xl/sharedStrings.xml><?xml version="1.0" encoding="utf-8"?>
<sst xmlns="http://schemas.openxmlformats.org/spreadsheetml/2006/main" count="18" uniqueCount="17">
  <si>
    <t>Ktyp</t>
  </si>
  <si>
    <t>Ichi</t>
  </si>
  <si>
    <t>Data1</t>
  </si>
  <si>
    <t>Data2</t>
  </si>
  <si>
    <t>Data3</t>
  </si>
  <si>
    <t>Data4</t>
  </si>
  <si>
    <t>ΔP</t>
    <phoneticPr fontId="1"/>
  </si>
  <si>
    <r>
      <t>自動化のための更新係数（</t>
    </r>
    <r>
      <rPr>
        <b/>
        <sz val="11"/>
        <color theme="1"/>
        <rFont val="游ゴシック"/>
        <family val="3"/>
        <charset val="128"/>
        <scheme val="minor"/>
      </rPr>
      <t>※いじらない</t>
    </r>
    <r>
      <rPr>
        <sz val="11"/>
        <color theme="1"/>
        <rFont val="游ゴシック"/>
        <family val="2"/>
        <charset val="128"/>
        <scheme val="minor"/>
      </rPr>
      <t>）</t>
    </r>
    <rPh sb="0" eb="3">
      <t>ジドウカ</t>
    </rPh>
    <rPh sb="7" eb="11">
      <t>コウシンケイスウ</t>
    </rPh>
    <phoneticPr fontId="1"/>
  </si>
  <si>
    <t>Rate</t>
    <phoneticPr fontId="1"/>
  </si>
  <si>
    <t>PL</t>
    <phoneticPr fontId="1"/>
  </si>
  <si>
    <t>p.u</t>
    <phoneticPr fontId="1"/>
  </si>
  <si>
    <t>Time</t>
    <phoneticPr fontId="1"/>
  </si>
  <si>
    <t>Data5</t>
    <phoneticPr fontId="1"/>
  </si>
  <si>
    <t>Data6</t>
    <phoneticPr fontId="1"/>
  </si>
  <si>
    <t>L,L2</t>
    <phoneticPr fontId="1"/>
  </si>
  <si>
    <t>Yco</t>
    <phoneticPr fontId="1"/>
  </si>
  <si>
    <t>Yco_bus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</si>
</sst>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 applyAlignment="1">
      <alignment vertical="center"/>
    </xf>
    <xf numFmtId="0" fontId="0" fillId="4" borderId="0" xfId="0" applyFill="1" applyAlignment="1">
      <alignment vertical="center"/>
    </xf>
    <xf numFmtId="0" fontId="0" fillId="0" borderId="0" xfId="0" applyAlignment="1"/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0" fillId="5" borderId="0" xfId="0" applyFill="1">
      <alignment vertical="center"/>
    </xf>
    <xf numFmtId="0" fontId="0" fillId="4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11"/>
  <sheetViews>
    <sheetView tabSelected="1" zoomScale="115" zoomScaleNormal="115" workbookViewId="0">
      <selection activeCell="F6" sqref="F6"/>
    </sheetView>
  </sheetViews>
  <sheetFormatPr defaultRowHeight="18.75" x14ac:dyDescent="0.4"/>
  <cols>
    <col min="1" max="1" width="16.625" style="2" bestFit="1" customWidth="1"/>
    <col min="4" max="4" width="11.125" style="2" bestFit="1" customWidth="1"/>
    <col min="12" max="12" width="12.75" style="2" bestFit="1" customWidth="1"/>
    <col min="18" max="18" width="9.375" style="2" bestFit="1" customWidth="1"/>
  </cols>
  <sheetData>
    <row r="1" spans="1:21" x14ac:dyDescent="0.4">
      <c r="A1" s="2" t="s">
        <v>11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t="s">
        <v>12</v>
      </c>
      <c r="I1" t="s">
        <v>13</v>
      </c>
      <c r="L1" s="3"/>
      <c r="M1" s="3"/>
      <c r="N1" s="4" t="s">
        <v>6</v>
      </c>
      <c r="O1" s="6">
        <v>500</v>
      </c>
      <c r="P1" s="6"/>
      <c r="Q1" s="3"/>
      <c r="R1" s="3"/>
      <c r="S1" s="3" t="s">
        <v>7</v>
      </c>
      <c r="T1" s="3"/>
      <c r="U1" s="3"/>
    </row>
    <row r="2" spans="1:21" x14ac:dyDescent="0.4">
      <c r="A2" s="3" t="str">
        <f>TEXT(1, "0.0") &amp; "," &amp; TEXT(1, "0.0")</f>
        <v>1.0,1.0</v>
      </c>
      <c r="B2" s="3" t="s">
        <v>14</v>
      </c>
      <c r="C2" s="1" t="str">
        <f>L2 &amp; "," &amp; $T$6</f>
        <v>11,21</v>
      </c>
      <c r="D2" s="3" t="str">
        <f>ROUND(O1*O2/(T4*1000),3) &amp; "," &amp; 0</f>
        <v>0.264,0</v>
      </c>
      <c r="E2" s="3" t="str">
        <f xml:space="preserve"> 0 &amp; "," &amp; -T5</f>
        <v>0,-0.5</v>
      </c>
      <c r="F2" s="3"/>
      <c r="G2" s="3"/>
      <c r="I2" s="3" t="str">
        <f xml:space="preserve"> 0 &amp; "," &amp; T5</f>
        <v>0,0.5</v>
      </c>
      <c r="L2" s="3">
        <v>11</v>
      </c>
      <c r="M2" s="3"/>
      <c r="N2" s="3" t="s">
        <v>8</v>
      </c>
      <c r="O2" s="3">
        <v>1</v>
      </c>
      <c r="P2" s="3">
        <v>1</v>
      </c>
      <c r="Q2" s="3"/>
      <c r="R2" s="3"/>
      <c r="S2" s="3">
        <v>1</v>
      </c>
      <c r="T2" s="3"/>
      <c r="U2" s="3"/>
    </row>
    <row r="3" spans="1:21" x14ac:dyDescent="0.4">
      <c r="A3" s="3" t="str">
        <f t="shared" ref="A3:A11" si="0">TEXT(1, "0.0") &amp; "," &amp; TEXT(1, "0.0")</f>
        <v>1.0,1.0</v>
      </c>
      <c r="B3" s="3" t="str">
        <f>B2</f>
        <v>L,L2</v>
      </c>
      <c r="C3" s="1" t="str">
        <f t="shared" ref="C3:C11" si="1">L3 &amp; "," &amp; $T$6</f>
        <v>12,21</v>
      </c>
      <c r="D3" s="3" t="str">
        <f>D2</f>
        <v>0.264,0</v>
      </c>
      <c r="E3" s="3" t="str">
        <f>E2</f>
        <v>0,-0.5</v>
      </c>
      <c r="F3" s="3"/>
      <c r="G3" s="3"/>
      <c r="I3" t="str">
        <f>I2</f>
        <v>0,0.5</v>
      </c>
      <c r="L3" s="3">
        <v>12</v>
      </c>
      <c r="M3" s="3"/>
      <c r="N3" s="3"/>
      <c r="O3" s="3"/>
      <c r="P3" s="3"/>
      <c r="Q3" s="3"/>
      <c r="R3" s="3"/>
      <c r="S3" s="3"/>
      <c r="T3" s="3"/>
      <c r="U3" s="3"/>
    </row>
    <row r="4" spans="1:21" x14ac:dyDescent="0.4">
      <c r="A4" s="3" t="str">
        <f t="shared" si="0"/>
        <v>1.0,1.0</v>
      </c>
      <c r="B4" s="3" t="str">
        <f t="shared" ref="B4:B11" si="2">B3</f>
        <v>L,L2</v>
      </c>
      <c r="C4" s="1" t="str">
        <f t="shared" si="1"/>
        <v>13,21</v>
      </c>
      <c r="D4" s="3" t="str">
        <f t="shared" ref="D4:E11" si="3">D3</f>
        <v>0.264,0</v>
      </c>
      <c r="E4" s="3" t="str">
        <f t="shared" si="3"/>
        <v>0,-0.5</v>
      </c>
      <c r="F4" s="3"/>
      <c r="G4" s="3"/>
      <c r="I4" t="str">
        <f t="shared" ref="I4:I11" si="4">I3</f>
        <v>0,0.5</v>
      </c>
      <c r="L4" s="3">
        <v>13</v>
      </c>
      <c r="M4" s="3"/>
      <c r="N4" s="3"/>
      <c r="O4" s="3"/>
      <c r="P4" s="3"/>
      <c r="Q4" s="3"/>
      <c r="R4" s="3"/>
      <c r="S4" s="5" t="s">
        <v>9</v>
      </c>
      <c r="T4" s="5">
        <v>1.8918918899999999</v>
      </c>
      <c r="U4" s="5" t="s">
        <v>10</v>
      </c>
    </row>
    <row r="5" spans="1:21" x14ac:dyDescent="0.4">
      <c r="A5" s="3" t="str">
        <f t="shared" si="0"/>
        <v>1.0,1.0</v>
      </c>
      <c r="B5" s="3" t="str">
        <f t="shared" si="2"/>
        <v>L,L2</v>
      </c>
      <c r="C5" s="1" t="str">
        <f t="shared" si="1"/>
        <v>14,21</v>
      </c>
      <c r="D5" s="3" t="str">
        <f t="shared" si="3"/>
        <v>0.264,0</v>
      </c>
      <c r="E5" s="3" t="str">
        <f t="shared" si="3"/>
        <v>0,-0.5</v>
      </c>
      <c r="F5" s="3"/>
      <c r="G5" s="3"/>
      <c r="I5" t="str">
        <f t="shared" si="4"/>
        <v>0,0.5</v>
      </c>
      <c r="L5" s="3">
        <v>14</v>
      </c>
      <c r="M5" s="3"/>
      <c r="N5" s="3"/>
      <c r="O5" s="3"/>
      <c r="P5" s="3"/>
      <c r="Q5" s="3"/>
      <c r="R5" s="3"/>
      <c r="S5" s="7" t="s">
        <v>15</v>
      </c>
      <c r="T5" s="7">
        <v>0.5</v>
      </c>
      <c r="U5" s="7" t="s">
        <v>10</v>
      </c>
    </row>
    <row r="6" spans="1:21" x14ac:dyDescent="0.4">
      <c r="A6" s="3" t="str">
        <f t="shared" si="0"/>
        <v>1.0,1.0</v>
      </c>
      <c r="B6" s="3" t="str">
        <f t="shared" si="2"/>
        <v>L,L2</v>
      </c>
      <c r="C6" s="1" t="str">
        <f t="shared" si="1"/>
        <v>15,21</v>
      </c>
      <c r="D6" s="3" t="str">
        <f t="shared" si="3"/>
        <v>0.264,0</v>
      </c>
      <c r="E6" s="3" t="str">
        <f t="shared" si="3"/>
        <v>0,-0.5</v>
      </c>
      <c r="F6" s="3"/>
      <c r="G6" s="3"/>
      <c r="I6" t="str">
        <f t="shared" si="4"/>
        <v>0,0.5</v>
      </c>
      <c r="L6" s="3">
        <v>15</v>
      </c>
      <c r="M6" s="3"/>
      <c r="N6" s="3"/>
      <c r="O6" s="3"/>
      <c r="P6" s="3"/>
      <c r="Q6" s="3"/>
      <c r="R6" s="3"/>
      <c r="S6" s="8" t="s">
        <v>16</v>
      </c>
      <c r="T6" s="8">
        <v>21</v>
      </c>
      <c r="U6" s="3"/>
    </row>
    <row r="7" spans="1:21" x14ac:dyDescent="0.4">
      <c r="A7" s="3" t="str">
        <f t="shared" si="0"/>
        <v>1.0,1.0</v>
      </c>
      <c r="B7" s="3" t="str">
        <f t="shared" si="2"/>
        <v>L,L2</v>
      </c>
      <c r="C7" s="1" t="str">
        <f t="shared" si="1"/>
        <v>16,21</v>
      </c>
      <c r="D7" s="3" t="str">
        <f t="shared" si="3"/>
        <v>0.264,0</v>
      </c>
      <c r="E7" s="3" t="str">
        <f t="shared" si="3"/>
        <v>0,-0.5</v>
      </c>
      <c r="F7" s="3"/>
      <c r="G7" s="3"/>
      <c r="I7" t="str">
        <f t="shared" si="4"/>
        <v>0,0.5</v>
      </c>
      <c r="L7" s="3">
        <v>16</v>
      </c>
      <c r="M7" s="3"/>
      <c r="N7" s="3"/>
      <c r="O7" s="3"/>
      <c r="P7" s="3"/>
      <c r="Q7" s="3"/>
      <c r="R7" s="3"/>
      <c r="S7" s="3"/>
      <c r="T7" s="3"/>
      <c r="U7" s="3"/>
    </row>
    <row r="8" spans="1:21" x14ac:dyDescent="0.4">
      <c r="A8" s="3" t="str">
        <f t="shared" si="0"/>
        <v>1.0,1.0</v>
      </c>
      <c r="B8" s="3" t="str">
        <f t="shared" si="2"/>
        <v>L,L2</v>
      </c>
      <c r="C8" s="1" t="str">
        <f t="shared" si="1"/>
        <v>17,21</v>
      </c>
      <c r="D8" s="3" t="str">
        <f t="shared" si="3"/>
        <v>0.264,0</v>
      </c>
      <c r="E8" s="3" t="str">
        <f t="shared" si="3"/>
        <v>0,-0.5</v>
      </c>
      <c r="F8" s="3"/>
      <c r="G8" s="3"/>
      <c r="I8" t="str">
        <f t="shared" si="4"/>
        <v>0,0.5</v>
      </c>
      <c r="L8" s="3">
        <v>17</v>
      </c>
      <c r="M8" s="3"/>
      <c r="N8" s="3"/>
      <c r="O8" s="3"/>
      <c r="P8" s="3"/>
      <c r="Q8" s="3"/>
      <c r="R8" s="3"/>
      <c r="S8" s="3"/>
      <c r="T8" s="3"/>
      <c r="U8" s="3"/>
    </row>
    <row r="9" spans="1:21" x14ac:dyDescent="0.4">
      <c r="A9" s="3" t="str">
        <f t="shared" si="0"/>
        <v>1.0,1.0</v>
      </c>
      <c r="B9" s="3" t="str">
        <f t="shared" si="2"/>
        <v>L,L2</v>
      </c>
      <c r="C9" s="1" t="str">
        <f t="shared" si="1"/>
        <v>18,21</v>
      </c>
      <c r="D9" s="3" t="str">
        <f t="shared" si="3"/>
        <v>0.264,0</v>
      </c>
      <c r="E9" s="3" t="str">
        <f t="shared" si="3"/>
        <v>0,-0.5</v>
      </c>
      <c r="F9" s="3"/>
      <c r="G9" s="3"/>
      <c r="I9" t="str">
        <f t="shared" si="4"/>
        <v>0,0.5</v>
      </c>
      <c r="L9" s="3">
        <v>18</v>
      </c>
      <c r="M9" s="3"/>
      <c r="N9" s="3"/>
      <c r="O9" s="3"/>
      <c r="P9" s="3"/>
      <c r="Q9" s="3"/>
      <c r="R9" s="3"/>
      <c r="S9" s="3"/>
      <c r="T9" s="3"/>
      <c r="U9" s="3"/>
    </row>
    <row r="10" spans="1:21" x14ac:dyDescent="0.4">
      <c r="A10" s="3" t="str">
        <f t="shared" si="0"/>
        <v>1.0,1.0</v>
      </c>
      <c r="B10" s="3" t="str">
        <f t="shared" si="2"/>
        <v>L,L2</v>
      </c>
      <c r="C10" s="1" t="str">
        <f t="shared" si="1"/>
        <v>19,21</v>
      </c>
      <c r="D10" s="3" t="str">
        <f t="shared" si="3"/>
        <v>0.264,0</v>
      </c>
      <c r="E10" s="3" t="str">
        <f t="shared" si="3"/>
        <v>0,-0.5</v>
      </c>
      <c r="F10" s="3"/>
      <c r="G10" s="3"/>
      <c r="I10" t="str">
        <f t="shared" si="4"/>
        <v>0,0.5</v>
      </c>
      <c r="L10" s="3">
        <v>19</v>
      </c>
      <c r="M10" s="3"/>
      <c r="N10" s="3"/>
      <c r="O10" s="3"/>
      <c r="P10" s="3"/>
      <c r="Q10" s="3"/>
      <c r="R10" s="3"/>
      <c r="S10" s="3"/>
      <c r="T10" s="3"/>
      <c r="U10" s="3"/>
    </row>
    <row r="11" spans="1:21" x14ac:dyDescent="0.4">
      <c r="A11" s="3" t="str">
        <f t="shared" si="0"/>
        <v>1.0,1.0</v>
      </c>
      <c r="B11" s="3" t="str">
        <f t="shared" si="2"/>
        <v>L,L2</v>
      </c>
      <c r="C11" s="1" t="str">
        <f t="shared" si="1"/>
        <v>20,21</v>
      </c>
      <c r="D11" s="3" t="str">
        <f t="shared" si="3"/>
        <v>0.264,0</v>
      </c>
      <c r="E11" s="3" t="str">
        <f t="shared" si="3"/>
        <v>0,-0.5</v>
      </c>
      <c r="F11" s="3"/>
      <c r="G11" s="3"/>
      <c r="I11" t="str">
        <f t="shared" si="4"/>
        <v>0,0.5</v>
      </c>
      <c r="L11" s="3">
        <v>20</v>
      </c>
      <c r="M11" s="3"/>
      <c r="N11" s="3"/>
      <c r="O11" s="3"/>
      <c r="P11" s="3"/>
      <c r="Q11" s="3"/>
      <c r="R11" s="3"/>
      <c r="S11" s="3"/>
      <c r="T11" s="3"/>
      <c r="U11" s="3"/>
    </row>
  </sheetData>
  <phoneticPr fontId="1"/>
  <pageMargins left="0.7" right="0.7" top="0.75" bottom="0.75" header="0.3" footer="0.3"/>
  <pageSetup paperSize="9" orientation="portrait" r:id="rId1"/>
  <ignoredErrors>
    <ignoredError sqref="C3:D1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pep-mouse-02</dc:creator>
  <cp:lastModifiedBy>西田 啓人</cp:lastModifiedBy>
  <dcterms:created xsi:type="dcterms:W3CDTF">2024-06-24T03:10:33Z</dcterms:created>
  <dcterms:modified xsi:type="dcterms:W3CDTF">2024-07-31T06:00:37Z</dcterms:modified>
</cp:coreProperties>
</file>